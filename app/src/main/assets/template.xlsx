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M:\Resp_gest_admin\FINANCES_X\DEMANDES DE REMBOURSEMENT\FRAIS DE DÉPLACEMENT\"/>
    </mc:Choice>
  </mc:AlternateContent>
  <xr:revisionPtr revIDLastSave="1" documentId="8_{2FC8380A-34B9-410F-8E2C-2484C5E2B3C8}" xr6:coauthVersionLast="47" xr6:coauthVersionMax="47" xr10:uidLastSave="{6174CE24-30C9-4D2D-A2FF-54B64BCB8EC5}"/>
  <workbookProtection workbookAlgorithmName="SHA-512" workbookHashValue="pw5UaQybD0jRqCP5c1VpUiBioA8Ky/Z21V64Jsh6zgzSGQRhMCSwwxg7sdGSSeujyCvdsaaGFJvz8CNoPD/Vyg==" workbookSaltValue="6eN9buJgCiNFSz3W4B23Uw==" workbookSpinCount="100000" lockStructure="1"/>
  <bookViews>
    <workbookView xWindow="-120" yWindow="-120" windowWidth="29040" windowHeight="15720" xr2:uid="{38762F57-5AFF-462F-8197-B9262965BCDA}"/>
  </bookViews>
  <sheets>
    <sheet name="Form FD" sheetId="1" r:id="rId1"/>
    <sheet name="Grille de kilométrage" sheetId="2" r:id="rId2"/>
  </sheets>
  <externalReferences>
    <externalReference r:id="rId3"/>
  </externalReferences>
  <definedNames>
    <definedName name="lstEtabArrive">'Grille de kilométrage'!$C$12:$AT$12</definedName>
    <definedName name="lstEtabDepart">'Grille de kilométrage'!$A$14:$A$57</definedName>
    <definedName name="lstTypeTrajet">[1]Formulaire!$N$11:$N$12</definedName>
    <definedName name="tabDepArr">'Grille de kilométrage'!$C$12:$AT$57</definedName>
    <definedName name="_xlnm.Print_Area" localSheetId="0">'Form FD'!$A$1:$N$58</definedName>
    <definedName name="_xlnm.Print_Area" localSheetId="1">'Grille de kilométrage'!$A$1:$AV$59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K15" i="1"/>
  <c r="K14" i="1"/>
  <c r="K13" i="1"/>
  <c r="K12" i="1"/>
  <c r="M3" i="1"/>
  <c r="BC8" i="2"/>
  <c r="BC7" i="2"/>
  <c r="B82" i="2"/>
  <c r="C82" i="2" s="1"/>
  <c r="B9" i="2" l="1" a="1"/>
  <c r="B9" i="2" s="1"/>
  <c r="D82" i="2"/>
  <c r="E82" i="2" l="1"/>
  <c r="F82" i="2" s="1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BC82" i="2" s="1"/>
  <c r="N30" i="1" l="1"/>
  <c r="N31" i="1"/>
  <c r="N32" i="1"/>
  <c r="N33" i="1"/>
  <c r="N34" i="1"/>
  <c r="N35" i="1"/>
  <c r="N36" i="1"/>
  <c r="N37" i="1"/>
  <c r="N38" i="1"/>
  <c r="N39" i="1"/>
  <c r="N44" i="1" l="1"/>
  <c r="N45" i="1" l="1"/>
  <c r="N28" i="1"/>
  <c r="N29" i="1"/>
  <c r="N26" i="1"/>
  <c r="N14" i="1"/>
  <c r="N41" i="1"/>
  <c r="N25" i="1"/>
  <c r="N40" i="1"/>
  <c r="N24" i="1"/>
  <c r="N43" i="1"/>
  <c r="N16" i="1"/>
  <c r="N42" i="1"/>
  <c r="N15" i="1"/>
  <c r="N46" i="1"/>
  <c r="N27" i="1"/>
  <c r="N13" i="1"/>
  <c r="N12" i="1"/>
  <c r="N4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<sst xmlns="http://schemas.openxmlformats.org/spreadsheetml/2006/main" count="144" uniqueCount="95">
  <si>
    <t>Formulaire : 90-60-31-20-02</t>
  </si>
  <si>
    <t>No de facture :</t>
  </si>
  <si>
    <t>FD</t>
  </si>
  <si>
    <t xml:space="preserve">                    RÉCLAMATION - FRAIS DE DÉPLACEMENT DU PERSONNEL</t>
  </si>
  <si>
    <t>Période du :</t>
  </si>
  <si>
    <t>(AAAA-MM-JJ)</t>
  </si>
  <si>
    <t>(AAMMJJ)</t>
  </si>
  <si>
    <t>au :</t>
  </si>
  <si>
    <t>Nom :</t>
  </si>
  <si>
    <t>Fonction :</t>
  </si>
  <si>
    <t>Matricule :</t>
  </si>
  <si>
    <t>No fournisseur :</t>
  </si>
  <si>
    <t>DÉPLACEMENT</t>
  </si>
  <si>
    <t>AUTRES FRAIS</t>
  </si>
  <si>
    <t>Date</t>
  </si>
  <si>
    <t>Heure de départ</t>
  </si>
  <si>
    <t>Heure de retour</t>
  </si>
  <si>
    <t>Point de départ</t>
  </si>
  <si>
    <t>Point d'arrivée</t>
  </si>
  <si>
    <t>Aller seulement ou aller/retour</t>
  </si>
  <si>
    <t>Motif et/ou requête</t>
  </si>
  <si>
    <t>Covoiturage?</t>
  </si>
  <si>
    <t>Si covoiturage - 
accompagné de :</t>
  </si>
  <si>
    <r>
      <t xml:space="preserve">Nb de km (1)
</t>
    </r>
    <r>
      <rPr>
        <b/>
        <sz val="10"/>
        <color theme="1"/>
        <rFont val="Aptos Narrow"/>
        <family val="2"/>
        <scheme val="minor"/>
      </rPr>
      <t>Aller seulement</t>
    </r>
  </si>
  <si>
    <t>Sous-total (2)</t>
  </si>
  <si>
    <t>Description du frais(3)</t>
  </si>
  <si>
    <t>Montant de la facture</t>
  </si>
  <si>
    <t>Total</t>
  </si>
  <si>
    <t>Signature de la personne effectuant la réclamation de frais :</t>
  </si>
  <si>
    <t>Date :</t>
  </si>
  <si>
    <t>Grand total :</t>
  </si>
  <si>
    <t>Signature de la personne autorisant la réclaration  de frais :</t>
  </si>
  <si>
    <t>Poste budgétaire :</t>
  </si>
  <si>
    <t>(1) Pour un déplacement entre 2 établissements du CSSPO, la grille de kilométrage accompagnement ce formulaire doit être utilisée pour déterminer le nombre de kilomètre du déplacement.</t>
  </si>
  <si>
    <t>(2) Le taux de remboursement au kilométrage est établi selon la directive à cet effet. Pour la période débutant le 1er juillet 2026, ces taux sont : 0,65 $/km de base, 0,813 $/km lors de covoiturage.</t>
  </si>
  <si>
    <t xml:space="preserve">      Un minimum de 3,15 $ par sortie est calculé. Une sortie est considérée comme le trajet débutant au point de départ jusqu'à retour à ce même point. Le nombre de kilomètre doit être entré à la dernière ligne du point d'arrivée de la sortie.</t>
  </si>
  <si>
    <t>(3) En cas de réclamation d'autres frais lors d'un déplacememt, toutes les pièces justificatives doivent être jointes.</t>
  </si>
  <si>
    <t>Toute réclamation est sujette à une vérification par le Service des ressources financières qui en vérifiera le respect des politiques et directives applicables et effectuera les correctifs au besoin avant de traiter la réclamation.</t>
  </si>
  <si>
    <t>Date de MAJ :</t>
  </si>
  <si>
    <t>Utilisation de la Grille de kilométrage</t>
  </si>
  <si>
    <t>La grille de kilométrage présente les kilométrages à soumettre pour les réclamations de frais de déplacements entre 2 établissements du CSSPO ou d'établissements fréquemment fréquentés.</t>
  </si>
  <si>
    <t>Afin de faciliter l'utilisation de cette grille, en complétant les lignes suivantes à partir des listes déroulantes, le nombre de kilomètres à déclaré sera présenté automatiquement.</t>
  </si>
  <si>
    <t>Point de départ :</t>
  </si>
  <si>
    <t>Centre administratif</t>
  </si>
  <si>
    <t>Point d'arrivée :</t>
  </si>
  <si>
    <t>inter. du Village-Limoges</t>
  </si>
  <si>
    <t>Kilométrage à réclamer :</t>
  </si>
  <si>
    <t>Nom</t>
  </si>
  <si>
    <t>au Cœur-des-Collines</t>
  </si>
  <si>
    <t>Centre Jellinek</t>
  </si>
  <si>
    <t>Centre l'Arrimage</t>
  </si>
  <si>
    <t>Centre la Génération</t>
  </si>
  <si>
    <t>Centre La Pêche</t>
  </si>
  <si>
    <t>Centre Mgr-Beaudoin</t>
  </si>
  <si>
    <t>Centre Pierre Janet</t>
  </si>
  <si>
    <t>CFPPO - Imm. Asticou</t>
  </si>
  <si>
    <t>CFPPO - Imm. Vision-Avenir</t>
  </si>
  <si>
    <t>Cote du Nord</t>
  </si>
  <si>
    <t>de l'Aigle</t>
  </si>
  <si>
    <t>de l'Amérique-Française</t>
  </si>
  <si>
    <t>de l'Île</t>
  </si>
  <si>
    <t>de la Cité</t>
  </si>
  <si>
    <t>de la Forêt</t>
  </si>
  <si>
    <t>de la Nouvelle-Ère</t>
  </si>
  <si>
    <t>de la Petite-Ourse</t>
  </si>
  <si>
    <t>de la Vallée-des-Voyageurs-NDLJ</t>
  </si>
  <si>
    <t>de la Vallée-des-Voyageurs-Sainte-Marie</t>
  </si>
  <si>
    <t>des Cavaliers</t>
  </si>
  <si>
    <t>des Deux-Ruisseaux</t>
  </si>
  <si>
    <t>des Lacs</t>
  </si>
  <si>
    <t>des Rapides-Deschênes</t>
  </si>
  <si>
    <t>des Tournesols</t>
  </si>
  <si>
    <t>des Trois-Portages</t>
  </si>
  <si>
    <t>du Dôme</t>
  </si>
  <si>
    <t>du Grand-Boisé</t>
  </si>
  <si>
    <t>du Grand-Héron</t>
  </si>
  <si>
    <t>du Lac-des-Fées</t>
  </si>
  <si>
    <t>du Marais</t>
  </si>
  <si>
    <t>du Parc-de-la-Montagne</t>
  </si>
  <si>
    <t>du Plateau</t>
  </si>
  <si>
    <t>du Vieux-Verger</t>
  </si>
  <si>
    <t>ES Mont-Bleu</t>
  </si>
  <si>
    <t>Euclide-Lanthier</t>
  </si>
  <si>
    <t>Grande-Rivière</t>
  </si>
  <si>
    <t>inter. du Village-Saint-Paul</t>
  </si>
  <si>
    <t>inter. du Mont-Bleu</t>
  </si>
  <si>
    <t>Jean-de-Brébeuf</t>
  </si>
  <si>
    <t>Notre-Dame</t>
  </si>
  <si>
    <t>Saint-Jean-Bosco</t>
  </si>
  <si>
    <t>Saint-Paul</t>
  </si>
  <si>
    <t>Saint-Rédempteur</t>
  </si>
  <si>
    <t>UQO-Lucien-Brault</t>
  </si>
  <si>
    <t>Vallée-Jeunesse</t>
  </si>
  <si>
    <t>Centre Pierre-Janet</t>
  </si>
  <si>
    <t>Cote-du-Nord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</si>
</sst>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)\ &quot;$&quot;_ ;_ * \(#,##0.00\)\ &quot;$&quot;_ ;_ * &quot;-&quot;??_)\ &quot;$&quot;_ ;_ @_ "/>
    <numFmt numFmtId="165" formatCode="_ * #,##0.00_)_ ;_ * \(#,##0.00\)_ ;_ * &quot;-&quot;??_)_ ;_ @_ "/>
    <numFmt numFmtId="166" formatCode="h:mm;@"/>
    <numFmt numFmtId="167" formatCode="_ * #,##0.0_)_ ;_ * \(#,##0.0\)_ ;_ * &quot;-&quot;??_)_ ;_ @_ "/>
    <numFmt numFmtId="168" formatCode="######"/>
    <numFmt numFmtId="169" formatCode="000\-0\-00000"/>
    <numFmt numFmtId="170" formatCode="[$-F800]dddd\,\ mmmm\ dd\,\ yyyy"/>
    <numFmt numFmtId="171" formatCode="0.0"/>
    <numFmt numFmtId="172" formatCode="yyyy-mm-dd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mic Sans MS"/>
      <family val="4"/>
    </font>
    <font>
      <sz val="11"/>
      <name val="Aptos Narrow"/>
      <family val="2"/>
      <scheme val="minor"/>
    </font>
    <font>
      <sz val="12"/>
      <name val="Comic Sans MS"/>
      <family val="4"/>
    </font>
    <font>
      <b/>
      <sz val="14"/>
      <name val="Comic Sans MS"/>
      <family val="4"/>
    </font>
    <font>
      <sz val="14"/>
      <name val="Comic Sans MS"/>
      <family val="4"/>
    </font>
    <font>
      <b/>
      <sz val="15"/>
      <name val="Comic Sans MS"/>
      <family val="4"/>
    </font>
    <font>
      <b/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424242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</cellStyleXfs>
  <cellXfs count="93">
    <xf numFmtId="0" fontId="0" fillId="0" borderId="0" xfId="0"/>
    <xf numFmtId="0" fontId="0" fillId="4" borderId="12" xfId="0" applyFill="1" applyBorder="1" applyProtection="1">
      <protection locked="0"/>
    </xf>
    <xf numFmtId="0" fontId="3" fillId="4" borderId="12" xfId="0" applyFont="1" applyFill="1" applyBorder="1" applyProtection="1">
      <protection locked="0"/>
    </xf>
    <xf numFmtId="166" fontId="3" fillId="4" borderId="21" xfId="0" applyNumberFormat="1" applyFont="1" applyFill="1" applyBorder="1" applyProtection="1">
      <protection locked="0"/>
    </xf>
    <xf numFmtId="0" fontId="3" fillId="4" borderId="6" xfId="0" applyFont="1" applyFill="1" applyBorder="1" applyProtection="1">
      <protection locked="0"/>
    </xf>
    <xf numFmtId="0" fontId="3" fillId="4" borderId="7" xfId="0" applyFont="1" applyFill="1" applyBorder="1" applyProtection="1">
      <protection locked="0"/>
    </xf>
    <xf numFmtId="167" fontId="3" fillId="4" borderId="7" xfId="1" applyNumberFormat="1" applyFont="1" applyFill="1" applyBorder="1" applyProtection="1">
      <protection locked="0"/>
    </xf>
    <xf numFmtId="0" fontId="3" fillId="4" borderId="7" xfId="0" applyFont="1" applyFill="1" applyBorder="1" applyAlignment="1" applyProtection="1">
      <alignment horizontal="center"/>
      <protection locked="0"/>
    </xf>
    <xf numFmtId="14" fontId="3" fillId="4" borderId="13" xfId="0" applyNumberFormat="1" applyFont="1" applyFill="1" applyBorder="1" applyProtection="1">
      <protection locked="0"/>
    </xf>
    <xf numFmtId="166" fontId="3" fillId="4" borderId="2" xfId="0" applyNumberFormat="1" applyFont="1" applyFill="1" applyBorder="1" applyProtection="1">
      <protection locked="0"/>
    </xf>
    <xf numFmtId="166" fontId="3" fillId="4" borderId="14" xfId="0" applyNumberFormat="1" applyFont="1" applyFill="1" applyBorder="1" applyProtection="1">
      <protection locked="0"/>
    </xf>
    <xf numFmtId="0" fontId="3" fillId="4" borderId="13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167" fontId="3" fillId="4" borderId="2" xfId="1" applyNumberFormat="1" applyFont="1" applyFill="1" applyBorder="1" applyProtection="1"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14" fontId="3" fillId="4" borderId="9" xfId="0" applyNumberFormat="1" applyFont="1" applyFill="1" applyBorder="1" applyProtection="1">
      <protection locked="0"/>
    </xf>
    <xf numFmtId="166" fontId="3" fillId="4" borderId="10" xfId="0" applyNumberFormat="1" applyFont="1" applyFill="1" applyBorder="1" applyProtection="1">
      <protection locked="0"/>
    </xf>
    <xf numFmtId="166" fontId="3" fillId="4" borderId="11" xfId="0" applyNumberFormat="1" applyFont="1" applyFill="1" applyBorder="1" applyProtection="1">
      <protection locked="0"/>
    </xf>
    <xf numFmtId="0" fontId="3" fillId="4" borderId="9" xfId="0" applyFont="1" applyFill="1" applyBorder="1" applyProtection="1">
      <protection locked="0"/>
    </xf>
    <xf numFmtId="0" fontId="3" fillId="4" borderId="10" xfId="0" applyFont="1" applyFill="1" applyBorder="1" applyProtection="1">
      <protection locked="0"/>
    </xf>
    <xf numFmtId="167" fontId="3" fillId="4" borderId="10" xfId="1" applyNumberFormat="1" applyFont="1" applyFill="1" applyBorder="1" applyProtection="1"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171" fontId="7" fillId="0" borderId="0" xfId="3" applyNumberFormat="1" applyFont="1" applyAlignment="1">
      <alignment horizontal="center" vertical="center"/>
    </xf>
    <xf numFmtId="0" fontId="2" fillId="0" borderId="26" xfId="3" applyFont="1" applyBorder="1"/>
    <xf numFmtId="0" fontId="2" fillId="0" borderId="26" xfId="3" applyFont="1" applyBorder="1" applyAlignment="1">
      <alignment horizontal="left" vertical="center"/>
    </xf>
    <xf numFmtId="0" fontId="2" fillId="0" borderId="12" xfId="3" applyFont="1" applyBorder="1" applyAlignment="1">
      <alignment textRotation="90"/>
    </xf>
    <xf numFmtId="0" fontId="2" fillId="0" borderId="12" xfId="3" applyFont="1" applyBorder="1"/>
    <xf numFmtId="0" fontId="2" fillId="0" borderId="27" xfId="3" applyFont="1" applyBorder="1" applyAlignment="1">
      <alignment textRotation="90"/>
    </xf>
    <xf numFmtId="0" fontId="6" fillId="6" borderId="0" xfId="3" applyFill="1"/>
    <xf numFmtId="0" fontId="2" fillId="6" borderId="12" xfId="3" applyFont="1" applyFill="1" applyBorder="1" applyAlignment="1">
      <alignment textRotation="90"/>
    </xf>
    <xf numFmtId="0" fontId="6" fillId="7" borderId="0" xfId="3" applyFill="1"/>
    <xf numFmtId="0" fontId="2" fillId="7" borderId="12" xfId="3" applyFont="1" applyFill="1" applyBorder="1" applyAlignment="1">
      <alignment textRotation="90"/>
    </xf>
    <xf numFmtId="0" fontId="6" fillId="7" borderId="12" xfId="3" applyFill="1" applyBorder="1"/>
    <xf numFmtId="0" fontId="2" fillId="7" borderId="26" xfId="3" applyFont="1" applyFill="1" applyBorder="1"/>
    <xf numFmtId="171" fontId="7" fillId="7" borderId="0" xfId="3" applyNumberFormat="1" applyFont="1" applyFill="1" applyAlignment="1">
      <alignment horizontal="center" vertical="center"/>
    </xf>
    <xf numFmtId="0" fontId="6" fillId="7" borderId="26" xfId="3" applyFill="1" applyBorder="1"/>
    <xf numFmtId="0" fontId="6" fillId="0" borderId="28" xfId="3" applyBorder="1"/>
    <xf numFmtId="0" fontId="8" fillId="0" borderId="28" xfId="3" applyFont="1" applyBorder="1"/>
    <xf numFmtId="0" fontId="9" fillId="0" borderId="28" xfId="3" applyFont="1" applyBorder="1" applyAlignment="1">
      <alignment horizontal="right"/>
    </xf>
    <xf numFmtId="0" fontId="10" fillId="0" borderId="28" xfId="3" applyFont="1" applyBorder="1"/>
    <xf numFmtId="0" fontId="11" fillId="0" borderId="28" xfId="3" applyFont="1" applyBorder="1"/>
    <xf numFmtId="0" fontId="0" fillId="0" borderId="0" xfId="0" applyAlignment="1">
      <alignment horizontal="right"/>
    </xf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3" fillId="4" borderId="12" xfId="0" applyFont="1" applyFill="1" applyBorder="1"/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4" fillId="0" borderId="21" xfId="2" applyFont="1" applyBorder="1" applyProtection="1"/>
    <xf numFmtId="164" fontId="4" fillId="0" borderId="16" xfId="0" applyNumberFormat="1" applyFont="1" applyBorder="1"/>
    <xf numFmtId="164" fontId="4" fillId="0" borderId="17" xfId="0" applyNumberFormat="1" applyFont="1" applyBorder="1"/>
    <xf numFmtId="164" fontId="4" fillId="0" borderId="18" xfId="0" applyNumberFormat="1" applyFont="1" applyBorder="1"/>
    <xf numFmtId="0" fontId="3" fillId="4" borderId="0" xfId="0" applyFont="1" applyFill="1"/>
    <xf numFmtId="164" fontId="4" fillId="0" borderId="1" xfId="2" applyFont="1" applyBorder="1" applyProtection="1"/>
    <xf numFmtId="0" fontId="5" fillId="0" borderId="0" xfId="0" applyFont="1" applyAlignment="1">
      <alignment horizontal="right"/>
    </xf>
    <xf numFmtId="14" fontId="5" fillId="0" borderId="0" xfId="0" applyNumberFormat="1" applyFont="1"/>
    <xf numFmtId="14" fontId="0" fillId="4" borderId="12" xfId="0" applyNumberFormat="1" applyFill="1" applyBorder="1" applyProtection="1">
      <protection locked="0"/>
    </xf>
    <xf numFmtId="14" fontId="0" fillId="4" borderId="25" xfId="0" applyNumberFormat="1" applyFill="1" applyBorder="1" applyProtection="1">
      <protection locked="0"/>
    </xf>
    <xf numFmtId="164" fontId="4" fillId="4" borderId="8" xfId="2" applyFont="1" applyFill="1" applyBorder="1" applyProtection="1">
      <protection locked="0"/>
    </xf>
    <xf numFmtId="164" fontId="4" fillId="4" borderId="14" xfId="2" applyFont="1" applyFill="1" applyBorder="1" applyProtection="1">
      <protection locked="0"/>
    </xf>
    <xf numFmtId="164" fontId="4" fillId="4" borderId="11" xfId="2" applyFont="1" applyFill="1" applyBorder="1" applyProtection="1">
      <protection locked="0"/>
    </xf>
    <xf numFmtId="168" fontId="0" fillId="0" borderId="12" xfId="0" applyNumberFormat="1" applyBorder="1" applyAlignment="1">
      <alignment horizontal="right"/>
    </xf>
    <xf numFmtId="0" fontId="13" fillId="0" borderId="0" xfId="0" applyFont="1"/>
    <xf numFmtId="14" fontId="14" fillId="4" borderId="19" xfId="0" applyNumberFormat="1" applyFont="1" applyFill="1" applyBorder="1" applyProtection="1">
      <protection locked="0"/>
    </xf>
    <xf numFmtId="0" fontId="14" fillId="4" borderId="2" xfId="0" applyFont="1" applyFill="1" applyBorder="1" applyProtection="1">
      <protection locked="0"/>
    </xf>
    <xf numFmtId="166" fontId="14" fillId="4" borderId="2" xfId="0" applyNumberFormat="1" applyFont="1" applyFill="1" applyBorder="1" applyProtection="1">
      <protection locked="0"/>
    </xf>
    <xf numFmtId="166" fontId="14" fillId="4" borderId="20" xfId="0" applyNumberFormat="1" applyFont="1" applyFill="1" applyBorder="1" applyProtection="1">
      <protection locked="0"/>
    </xf>
    <xf numFmtId="0" fontId="0" fillId="4" borderId="7" xfId="0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3" fillId="4" borderId="12" xfId="0" applyFont="1" applyFill="1" applyBorder="1" applyAlignment="1" applyProtection="1">
      <alignment horizontal="left"/>
      <protection locked="0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3" fillId="4" borderId="12" xfId="0" applyFont="1" applyFill="1" applyBorder="1" applyAlignment="1" applyProtection="1">
      <alignment horizontal="center"/>
      <protection locked="0"/>
    </xf>
    <xf numFmtId="170" fontId="3" fillId="4" borderId="12" xfId="0" applyNumberFormat="1" applyFont="1" applyFill="1" applyBorder="1" applyAlignment="1" applyProtection="1">
      <alignment horizontal="center"/>
      <protection locked="0"/>
    </xf>
    <xf numFmtId="169" fontId="3" fillId="4" borderId="12" xfId="0" applyNumberFormat="1" applyFont="1" applyFill="1" applyBorder="1" applyAlignment="1" applyProtection="1">
      <alignment horizontal="right"/>
      <protection locked="0"/>
    </xf>
    <xf numFmtId="0" fontId="10" fillId="4" borderId="28" xfId="3" applyFont="1" applyFill="1" applyBorder="1" applyAlignment="1" applyProtection="1">
      <alignment horizontal="left"/>
      <protection locked="0"/>
    </xf>
    <xf numFmtId="167" fontId="10" fillId="5" borderId="28" xfId="1" applyNumberFormat="1" applyFont="1" applyFill="1" applyBorder="1" applyAlignment="1">
      <alignment horizontal="center"/>
    </xf>
    <xf numFmtId="0" fontId="3" fillId="4" borderId="13" xfId="0" applyNumberFormat="1" applyFont="1" applyFill="1" applyBorder="1" applyProtection="1">
      <protection locked="0"/>
    </xf>
    <xf numFmtId="172" fontId="0" fillId="4" borderId="25" xfId="0" applyNumberFormat="1" applyFill="1" applyBorder="1" applyProtection="1">
      <protection locked="0"/>
    </xf>
    <xf numFmtId="172" fontId="3" fillId="4" borderId="12" xfId="0" applyNumberFormat="1" applyFont="1" applyFill="1" applyBorder="1" applyAlignment="1" applyProtection="1">
      <alignment horizontal="center"/>
      <protection locked="0"/>
    </xf>
  </cellXfs>
  <cellStyles count="4">
    <cellStyle name="Milliers" xfId="1" builtinId="3"/>
    <cellStyle name="Monétaire" xfId="2" builtinId="4"/>
    <cellStyle name="Normal" xfId="0" builtinId="0"/>
    <cellStyle name="Normal 2" xfId="3" xr:uid="{832B0F84-7A94-45F2-AFC4-1214D62E362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22409</xdr:colOff>
      <xdr:row>0</xdr:row>
      <xdr:rowOff>0</xdr:rowOff>
    </xdr:from>
    <xdr:to>
      <xdr:col>3</xdr:col>
      <xdr:colOff>378584</xdr:colOff>
      <xdr:row>5</xdr:row>
      <xdr:rowOff>92822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D0FFE87-91B7-0421-25B7-C93D8E0FA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9" y="0"/>
          <a:ext cx="2733503" cy="13110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pienre\AppData\Local\Microsoft\Windows\INetCache\Content.Outlook\0HSTY122\Modele_.xlsx" TargetMode="External"/><Relationship Id="rId1" Type="http://schemas.openxmlformats.org/officeDocument/2006/relationships/externalLinkPath" Target="file:///C:\Users\lupienre\AppData\Local\Microsoft\Windows\INetCache\Content.Outlook\0HSTY122\Modele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ire"/>
      <sheetName val="GrilleKilo"/>
      <sheetName val="Covoitureur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23EB-812A-4DEB-8D34-DF0ECC63399D}">
  <sheetPr>
    <pageSetUpPr fitToPage="1"/>
  </sheetPr>
  <dimension ref="A1:S107"/>
  <sheetViews>
    <sheetView showGridLines="0" tabSelected="1" topLeftCell="A5" zoomScaleNormal="100" workbookViewId="0">
      <selection activeCell="H31" sqref="H31"/>
    </sheetView>
  </sheetViews>
  <sheetFormatPr defaultColWidth="11.5703125" defaultRowHeight="15"/>
  <cols>
    <col min="1" max="1" width="13" customWidth="1"/>
    <col min="2" max="3" width="11.42578125" customWidth="1"/>
    <col min="4" max="4" width="23.5703125" customWidth="1"/>
    <col min="5" max="5" width="23.7109375" customWidth="1"/>
    <col min="6" max="6" width="15.7109375" customWidth="1"/>
    <col min="7" max="7" width="41" customWidth="1"/>
    <col min="8" max="8" width="13.28515625" customWidth="1"/>
    <col min="9" max="9" width="23.85546875" customWidth="1"/>
    <col min="10" max="11" width="13.7109375" customWidth="1"/>
    <col min="12" max="12" width="34.7109375" customWidth="1"/>
    <col min="13" max="13" width="12.42578125" customWidth="1"/>
    <col min="14" max="18" width="11.42578125"/>
    <col min="19" max="19" width="12.7109375" customWidth="1"/>
    <col min="20" max="16384" width="11.5703125" style="45"/>
  </cols>
  <sheetData>
    <row r="1" spans="1:19">
      <c r="N1" s="44" t="s">
        <v>0</v>
      </c>
      <c r="O1" s="45"/>
      <c r="P1" s="45"/>
      <c r="Q1" s="45"/>
      <c r="R1" s="45"/>
      <c r="S1" s="45"/>
    </row>
    <row r="2" spans="1:19" ht="24" customHeight="1">
      <c r="O2" s="45"/>
      <c r="P2" s="45"/>
      <c r="Q2" s="45"/>
      <c r="R2" s="45"/>
      <c r="S2" s="45"/>
    </row>
    <row r="3" spans="1:19">
      <c r="D3" s="46"/>
      <c r="H3" s="46"/>
      <c r="L3" s="47" t="s">
        <v>1</v>
      </c>
      <c r="M3" s="70" t="str">
        <f>IF(J5&lt;&gt;"",TEXT(J5,"AAMMJJ"),"")</f>
        <v/>
      </c>
      <c r="N3" t="s">
        <v>2</v>
      </c>
      <c r="O3" s="45"/>
      <c r="P3" s="45"/>
      <c r="Q3" s="45"/>
      <c r="R3" s="45"/>
      <c r="S3" s="45"/>
    </row>
    <row r="4" spans="1:19" ht="26.25">
      <c r="D4" s="71" t="s">
        <v>3</v>
      </c>
      <c r="H4" s="46"/>
      <c r="I4" s="48" t="s">
        <v>4</v>
      </c>
      <c r="J4" s="65"/>
      <c r="K4" t="s">
        <v>5</v>
      </c>
      <c r="L4" s="47"/>
      <c r="M4" s="44" t="s">
        <v>6</v>
      </c>
      <c r="O4" s="45"/>
      <c r="P4" s="45"/>
      <c r="Q4" s="45"/>
      <c r="R4" s="45"/>
      <c r="S4" s="45"/>
    </row>
    <row r="5" spans="1:19" ht="15.75">
      <c r="D5" s="46"/>
      <c r="H5" s="46"/>
      <c r="I5" s="48" t="s">
        <v>7</v>
      </c>
      <c r="J5" s="91"/>
      <c r="K5" t="s">
        <v>5</v>
      </c>
      <c r="L5" s="47"/>
      <c r="M5" s="44"/>
      <c r="O5" s="45"/>
      <c r="P5" s="45"/>
      <c r="Q5" s="45"/>
      <c r="R5" s="45"/>
      <c r="S5" s="45"/>
    </row>
    <row r="6" spans="1:19" ht="20.25" customHeight="1">
      <c r="O6" s="45"/>
      <c r="P6" s="45"/>
      <c r="Q6" s="45"/>
      <c r="R6" s="45"/>
      <c r="S6" s="45"/>
    </row>
    <row r="7" spans="1:19" ht="18" customHeight="1">
      <c r="A7" s="49" t="s">
        <v>8</v>
      </c>
      <c r="B7" s="78"/>
      <c r="C7" s="78"/>
      <c r="D7" s="78"/>
      <c r="E7" s="48" t="s">
        <v>9</v>
      </c>
      <c r="F7" s="48"/>
      <c r="G7" s="2"/>
      <c r="H7" s="50"/>
      <c r="I7" s="48" t="s">
        <v>10</v>
      </c>
      <c r="J7" s="2"/>
      <c r="L7" s="48" t="s">
        <v>11</v>
      </c>
      <c r="M7" s="1"/>
      <c r="N7" s="51"/>
      <c r="O7" s="45"/>
      <c r="P7" s="45"/>
      <c r="Q7" s="45"/>
      <c r="R7" s="45"/>
      <c r="S7" s="45"/>
    </row>
    <row r="8" spans="1:19" ht="8.4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45"/>
      <c r="P8" s="45"/>
      <c r="Q8" s="45"/>
      <c r="R8" s="45"/>
      <c r="S8" s="45"/>
    </row>
    <row r="9" spans="1:19" ht="15.75" thickBot="1">
      <c r="O9" s="45"/>
      <c r="P9" s="45"/>
      <c r="Q9" s="45"/>
      <c r="R9" s="45"/>
      <c r="S9" s="45"/>
    </row>
    <row r="10" spans="1:19" ht="15.75" thickBot="1">
      <c r="D10" s="79" t="s">
        <v>12</v>
      </c>
      <c r="E10" s="80"/>
      <c r="F10" s="80"/>
      <c r="G10" s="80"/>
      <c r="H10" s="80"/>
      <c r="I10" s="80"/>
      <c r="J10" s="80"/>
      <c r="K10" s="81"/>
      <c r="L10" s="82" t="s">
        <v>13</v>
      </c>
      <c r="M10" s="83"/>
      <c r="N10" s="84"/>
      <c r="O10" s="45"/>
      <c r="P10" s="45"/>
      <c r="Q10" s="45"/>
      <c r="R10" s="45"/>
      <c r="S10" s="45"/>
    </row>
    <row r="11" spans="1:19" ht="35.450000000000003" customHeight="1" thickBot="1">
      <c r="A11" s="52" t="s">
        <v>14</v>
      </c>
      <c r="B11" s="53" t="s">
        <v>15</v>
      </c>
      <c r="C11" s="54" t="s">
        <v>16</v>
      </c>
      <c r="D11" s="55" t="s">
        <v>17</v>
      </c>
      <c r="E11" s="53" t="s">
        <v>18</v>
      </c>
      <c r="F11" s="53" t="s">
        <v>19</v>
      </c>
      <c r="G11" s="53" t="s">
        <v>20</v>
      </c>
      <c r="H11" s="53" t="s">
        <v>21</v>
      </c>
      <c r="I11" s="53" t="s">
        <v>22</v>
      </c>
      <c r="J11" s="53" t="s">
        <v>23</v>
      </c>
      <c r="K11" s="54" t="s">
        <v>24</v>
      </c>
      <c r="L11" s="55" t="s">
        <v>25</v>
      </c>
      <c r="M11" s="54" t="s">
        <v>26</v>
      </c>
      <c r="N11" s="56" t="s">
        <v>27</v>
      </c>
      <c r="O11" s="45"/>
      <c r="P11" s="45"/>
      <c r="Q11" s="45"/>
      <c r="R11" s="45"/>
      <c r="S11" s="45"/>
    </row>
    <row r="12" spans="1:19" ht="18" customHeight="1">
      <c r="A12" s="72"/>
      <c r="B12" s="75"/>
      <c r="C12" s="3"/>
      <c r="D12" s="4"/>
      <c r="E12" s="76"/>
      <c r="F12" s="7"/>
      <c r="G12" s="5"/>
      <c r="H12" s="7"/>
      <c r="I12" s="5"/>
      <c r="J12" s="6"/>
      <c r="K12" s="57">
        <f>IF(J12&lt;&gt;0,IF(J12&lt;&gt;"",IF(F12="Aller/retour",IF(H12="Oui",MAX(3.15,J12*0.813*2),MAX(3.15,J12*0.65*2)),IF(H12="Oui",MAX(3.15,J12*0.813),MAX(3.15,J12*0.65))),0),0)</f>
        <v>0</v>
      </c>
      <c r="L12" s="22"/>
      <c r="M12" s="67"/>
      <c r="N12" s="58">
        <f>+K12+M12</f>
        <v>0</v>
      </c>
      <c r="O12" s="45"/>
      <c r="P12" s="45"/>
      <c r="Q12" s="45"/>
      <c r="R12" s="45"/>
      <c r="S12" s="45"/>
    </row>
    <row r="13" spans="1:19" ht="18" customHeight="1">
      <c r="A13" s="8"/>
      <c r="B13" s="74"/>
      <c r="C13" s="10"/>
      <c r="D13" s="11"/>
      <c r="E13" s="77"/>
      <c r="F13" s="14"/>
      <c r="G13" s="73"/>
      <c r="H13" s="14"/>
      <c r="I13" s="12"/>
      <c r="J13" s="13"/>
      <c r="K13" s="57">
        <f t="shared" ref="K13:K46" si="0">IF(J13&lt;&gt;0,IF(J13&lt;&gt;"",IF(F13="Aller/retour",IF(H13="Oui",MAX(3.15,J13*0.813*2),MAX(3.15,J13*0.65*2)),IF(H13="Oui",MAX(3.15,J13*0.813),MAX(3.15,J13*0.65))),0),0)</f>
        <v>0</v>
      </c>
      <c r="L13" s="23"/>
      <c r="M13" s="68"/>
      <c r="N13" s="59">
        <f>+K13+M13</f>
        <v>0</v>
      </c>
      <c r="O13" s="45"/>
      <c r="P13" s="45"/>
      <c r="Q13" s="45"/>
      <c r="R13" s="45"/>
      <c r="S13" s="45"/>
    </row>
    <row r="14" spans="1:19" ht="18" customHeight="1">
      <c r="A14" s="8"/>
      <c r="B14" s="9"/>
      <c r="C14" s="10"/>
      <c r="D14" s="11"/>
      <c r="E14" s="12"/>
      <c r="F14" s="14"/>
      <c r="G14" s="12"/>
      <c r="H14" s="14"/>
      <c r="I14" s="12"/>
      <c r="J14" s="13"/>
      <c r="K14" s="57">
        <f t="shared" si="0"/>
        <v>0</v>
      </c>
      <c r="L14" s="23"/>
      <c r="M14" s="68"/>
      <c r="N14" s="59">
        <f>+K14+M14</f>
        <v>0</v>
      </c>
      <c r="O14" s="45"/>
      <c r="P14" s="45"/>
      <c r="Q14" s="45"/>
      <c r="R14" s="45"/>
      <c r="S14" s="45"/>
    </row>
    <row r="15" spans="1:19" ht="18" customHeight="1">
      <c r="A15" s="8"/>
      <c r="B15" s="9"/>
      <c r="C15" s="10"/>
      <c r="D15" s="11"/>
      <c r="E15" s="12"/>
      <c r="F15" s="14"/>
      <c r="G15" s="12"/>
      <c r="H15" s="14"/>
      <c r="I15" s="12"/>
      <c r="J15" s="13"/>
      <c r="K15" s="57">
        <f t="shared" si="0"/>
        <v>0</v>
      </c>
      <c r="L15" s="23"/>
      <c r="M15" s="68"/>
      <c r="N15" s="59">
        <f>+K15+M15</f>
        <v>0</v>
      </c>
      <c r="O15" s="45"/>
      <c r="P15" s="45"/>
      <c r="Q15" s="45"/>
      <c r="R15" s="45"/>
      <c r="S15" s="45"/>
    </row>
    <row r="16" spans="1:19" ht="18" customHeight="1">
      <c r="A16" s="8"/>
      <c r="B16" s="9"/>
      <c r="C16" s="10"/>
      <c r="D16" s="11"/>
      <c r="E16" s="12"/>
      <c r="F16" s="14"/>
      <c r="G16" s="12"/>
      <c r="H16" s="14"/>
      <c r="I16" s="12"/>
      <c r="J16" s="13"/>
      <c r="K16" s="57">
        <f t="shared" si="0"/>
        <v>0</v>
      </c>
      <c r="L16" s="23"/>
      <c r="M16" s="68"/>
      <c r="N16" s="59">
        <f>+K16+M16</f>
        <v>0</v>
      </c>
      <c r="O16" s="45"/>
      <c r="P16" s="45"/>
      <c r="Q16" s="45"/>
      <c r="R16" s="45"/>
      <c r="S16" s="45"/>
    </row>
    <row r="17" spans="1:19" ht="18" customHeight="1">
      <c r="A17" s="8"/>
      <c r="B17" s="9"/>
      <c r="C17" s="10"/>
      <c r="D17" s="11"/>
      <c r="E17" s="12"/>
      <c r="F17" s="14"/>
      <c r="G17" s="12"/>
      <c r="H17" s="14"/>
      <c r="I17" s="12"/>
      <c r="J17" s="13"/>
      <c r="K17" s="57">
        <f t="shared" si="0"/>
        <v>0</v>
      </c>
      <c r="L17" s="23"/>
      <c r="M17" s="68"/>
      <c r="N17" s="59">
        <f t="shared" ref="N17:N23" si="1">+K17+M17</f>
        <v>0</v>
      </c>
      <c r="O17" s="45"/>
      <c r="P17" s="45"/>
      <c r="Q17" s="45"/>
      <c r="R17" s="45"/>
      <c r="S17" s="45"/>
    </row>
    <row r="18" spans="1:19" ht="18" customHeight="1">
      <c r="A18" s="8"/>
      <c r="B18" s="9"/>
      <c r="C18" s="10"/>
      <c r="D18" s="11"/>
      <c r="E18" s="12"/>
      <c r="F18" s="14"/>
      <c r="G18" s="12"/>
      <c r="H18" s="14"/>
      <c r="I18" s="12"/>
      <c r="J18" s="13"/>
      <c r="K18" s="57">
        <f t="shared" si="0"/>
        <v>0</v>
      </c>
      <c r="L18" s="23"/>
      <c r="M18" s="68"/>
      <c r="N18" s="59">
        <f t="shared" si="1"/>
        <v>0</v>
      </c>
      <c r="O18" s="45"/>
      <c r="P18" s="45"/>
      <c r="Q18" s="45"/>
      <c r="R18" s="45"/>
      <c r="S18" s="45"/>
    </row>
    <row r="19" spans="1:19" ht="18" customHeight="1">
      <c r="A19" s="8"/>
      <c r="B19" s="9"/>
      <c r="C19" s="10"/>
      <c r="D19" s="11"/>
      <c r="E19" s="12"/>
      <c r="F19" s="14"/>
      <c r="G19" s="12"/>
      <c r="H19" s="14"/>
      <c r="I19" s="90"/>
      <c r="J19" s="13"/>
      <c r="K19" s="57">
        <f t="shared" si="0"/>
        <v>0</v>
      </c>
      <c r="L19" s="23"/>
      <c r="M19" s="68"/>
      <c r="N19" s="59">
        <f t="shared" si="1"/>
        <v>0</v>
      </c>
      <c r="O19" s="45"/>
      <c r="P19" s="45"/>
      <c r="Q19" s="45"/>
      <c r="R19" s="45"/>
      <c r="S19" s="45"/>
    </row>
    <row r="20" spans="1:19" ht="18" customHeight="1">
      <c r="A20" s="8"/>
      <c r="B20" s="9"/>
      <c r="C20" s="10"/>
      <c r="D20" s="11"/>
      <c r="E20" s="12"/>
      <c r="F20" s="14"/>
      <c r="G20" s="12"/>
      <c r="H20" s="14"/>
      <c r="I20" s="12"/>
      <c r="J20" s="13"/>
      <c r="K20" s="57">
        <f t="shared" si="0"/>
        <v>0</v>
      </c>
      <c r="L20" s="23"/>
      <c r="M20" s="68"/>
      <c r="N20" s="59">
        <f t="shared" si="1"/>
        <v>0</v>
      </c>
      <c r="O20" s="45"/>
      <c r="P20" s="45"/>
      <c r="Q20" s="45"/>
      <c r="R20" s="45"/>
      <c r="S20" s="45"/>
    </row>
    <row r="21" spans="1:19" ht="18" customHeight="1">
      <c r="A21" s="8"/>
      <c r="B21" s="9"/>
      <c r="C21" s="10"/>
      <c r="D21" s="11"/>
      <c r="E21" s="12"/>
      <c r="F21" s="14"/>
      <c r="G21" s="12"/>
      <c r="H21" s="14"/>
      <c r="I21" s="12"/>
      <c r="J21" s="13"/>
      <c r="K21" s="57">
        <f t="shared" si="0"/>
        <v>0</v>
      </c>
      <c r="L21" s="23"/>
      <c r="M21" s="68"/>
      <c r="N21" s="59">
        <f t="shared" si="1"/>
        <v>0</v>
      </c>
      <c r="O21" s="45"/>
      <c r="P21" s="45"/>
      <c r="Q21" s="45"/>
      <c r="R21" s="45"/>
      <c r="S21" s="45"/>
    </row>
    <row r="22" spans="1:19" ht="18" customHeight="1">
      <c r="A22" s="8"/>
      <c r="B22" s="9"/>
      <c r="C22" s="10"/>
      <c r="D22" s="11"/>
      <c r="E22" s="12"/>
      <c r="F22" s="14"/>
      <c r="G22" s="12"/>
      <c r="H22" s="14"/>
      <c r="I22" s="12"/>
      <c r="J22" s="13"/>
      <c r="K22" s="57">
        <f t="shared" si="0"/>
        <v>0</v>
      </c>
      <c r="L22" s="23"/>
      <c r="M22" s="68"/>
      <c r="N22" s="59">
        <f t="shared" si="1"/>
        <v>0</v>
      </c>
      <c r="O22" s="45"/>
      <c r="P22" s="45"/>
      <c r="Q22" s="45"/>
      <c r="R22" s="45"/>
      <c r="S22" s="45"/>
    </row>
    <row r="23" spans="1:19" ht="18" customHeight="1">
      <c r="A23" s="8"/>
      <c r="B23" s="9"/>
      <c r="C23" s="10"/>
      <c r="D23" s="11"/>
      <c r="E23" s="12"/>
      <c r="F23" s="14"/>
      <c r="G23" s="12"/>
      <c r="H23" s="14"/>
      <c r="I23" s="12"/>
      <c r="J23" s="13"/>
      <c r="K23" s="57">
        <f t="shared" si="0"/>
        <v>0</v>
      </c>
      <c r="L23" s="23"/>
      <c r="M23" s="68"/>
      <c r="N23" s="59">
        <f t="shared" si="1"/>
        <v>0</v>
      </c>
      <c r="O23" s="45"/>
      <c r="P23" s="45"/>
      <c r="Q23" s="45"/>
      <c r="R23" s="45"/>
      <c r="S23" s="45"/>
    </row>
    <row r="24" spans="1:19" ht="18" customHeight="1">
      <c r="A24" s="8"/>
      <c r="B24" s="9"/>
      <c r="C24" s="10"/>
      <c r="D24" s="11"/>
      <c r="E24" s="12"/>
      <c r="F24" s="14"/>
      <c r="G24" s="12"/>
      <c r="H24" s="14"/>
      <c r="I24" s="12"/>
      <c r="J24" s="13"/>
      <c r="K24" s="57">
        <f t="shared" si="0"/>
        <v>0</v>
      </c>
      <c r="L24" s="23"/>
      <c r="M24" s="68"/>
      <c r="N24" s="59">
        <f t="shared" ref="N24:N29" si="2">+K24+M24</f>
        <v>0</v>
      </c>
      <c r="O24" s="45"/>
      <c r="P24" s="45"/>
      <c r="Q24" s="45"/>
      <c r="R24" s="45"/>
      <c r="S24" s="45"/>
    </row>
    <row r="25" spans="1:19" ht="18" customHeight="1">
      <c r="A25" s="8"/>
      <c r="B25" s="9"/>
      <c r="C25" s="10"/>
      <c r="D25" s="11"/>
      <c r="E25" s="12"/>
      <c r="F25" s="14"/>
      <c r="G25" s="12"/>
      <c r="H25" s="14"/>
      <c r="I25" s="12"/>
      <c r="J25" s="13"/>
      <c r="K25" s="57">
        <f t="shared" si="0"/>
        <v>0</v>
      </c>
      <c r="L25" s="23"/>
      <c r="M25" s="68"/>
      <c r="N25" s="59">
        <f t="shared" si="2"/>
        <v>0</v>
      </c>
      <c r="O25" s="45"/>
      <c r="P25" s="45"/>
      <c r="Q25" s="45"/>
      <c r="R25" s="45"/>
      <c r="S25" s="45"/>
    </row>
    <row r="26" spans="1:19" ht="18" customHeight="1">
      <c r="A26" s="8"/>
      <c r="B26" s="9"/>
      <c r="C26" s="10"/>
      <c r="D26" s="11"/>
      <c r="E26" s="12"/>
      <c r="F26" s="14"/>
      <c r="G26" s="12"/>
      <c r="H26" s="14"/>
      <c r="I26" s="12"/>
      <c r="J26" s="13"/>
      <c r="K26" s="57">
        <f t="shared" si="0"/>
        <v>0</v>
      </c>
      <c r="L26" s="23"/>
      <c r="M26" s="68"/>
      <c r="N26" s="59">
        <f t="shared" si="2"/>
        <v>0</v>
      </c>
      <c r="O26" s="45"/>
      <c r="P26" s="45"/>
      <c r="Q26" s="45"/>
      <c r="R26" s="45"/>
      <c r="S26" s="45"/>
    </row>
    <row r="27" spans="1:19" ht="18" customHeight="1">
      <c r="A27" s="8"/>
      <c r="B27" s="9"/>
      <c r="C27" s="10"/>
      <c r="D27" s="11"/>
      <c r="E27" s="12"/>
      <c r="F27" s="14"/>
      <c r="G27" s="12"/>
      <c r="H27" s="14"/>
      <c r="I27" s="12"/>
      <c r="J27" s="13"/>
      <c r="K27" s="57">
        <f t="shared" si="0"/>
        <v>0</v>
      </c>
      <c r="L27" s="23"/>
      <c r="M27" s="68"/>
      <c r="N27" s="59">
        <f t="shared" si="2"/>
        <v>0</v>
      </c>
      <c r="O27" s="45"/>
      <c r="P27" s="45"/>
      <c r="Q27" s="45"/>
      <c r="R27" s="45"/>
      <c r="S27" s="45"/>
    </row>
    <row r="28" spans="1:19" ht="18" customHeight="1">
      <c r="A28" s="8"/>
      <c r="B28" s="9"/>
      <c r="C28" s="10"/>
      <c r="D28" s="11"/>
      <c r="E28" s="12"/>
      <c r="F28" s="14"/>
      <c r="G28" s="12"/>
      <c r="H28" s="14"/>
      <c r="I28" s="12"/>
      <c r="J28" s="13"/>
      <c r="K28" s="57">
        <f t="shared" si="0"/>
        <v>0</v>
      </c>
      <c r="L28" s="23"/>
      <c r="M28" s="68"/>
      <c r="N28" s="59">
        <f t="shared" si="2"/>
        <v>0</v>
      </c>
      <c r="O28" s="45"/>
      <c r="P28" s="45"/>
      <c r="Q28" s="45"/>
      <c r="R28" s="45"/>
      <c r="S28" s="45"/>
    </row>
    <row r="29" spans="1:19" ht="18" customHeight="1">
      <c r="A29" s="8"/>
      <c r="B29" s="9"/>
      <c r="C29" s="10"/>
      <c r="D29" s="11"/>
      <c r="E29" s="12"/>
      <c r="F29" s="14"/>
      <c r="G29" s="12"/>
      <c r="H29" s="14"/>
      <c r="I29" s="12"/>
      <c r="J29" s="13"/>
      <c r="K29" s="57">
        <f t="shared" si="0"/>
        <v>0</v>
      </c>
      <c r="L29" s="23"/>
      <c r="M29" s="68"/>
      <c r="N29" s="59">
        <f t="shared" si="2"/>
        <v>0</v>
      </c>
      <c r="O29" s="45"/>
      <c r="P29" s="45"/>
      <c r="Q29" s="45"/>
      <c r="R29" s="45"/>
      <c r="S29" s="45"/>
    </row>
    <row r="30" spans="1:19" ht="18" customHeight="1">
      <c r="A30" s="8"/>
      <c r="B30" s="9"/>
      <c r="C30" s="10"/>
      <c r="D30" s="11"/>
      <c r="E30" s="12"/>
      <c r="F30" s="14"/>
      <c r="G30" s="12"/>
      <c r="H30" s="14"/>
      <c r="I30" s="12"/>
      <c r="J30" s="13"/>
      <c r="K30" s="57">
        <f t="shared" si="0"/>
        <v>0</v>
      </c>
      <c r="L30" s="23"/>
      <c r="M30" s="68"/>
      <c r="N30" s="59">
        <f t="shared" ref="N30:N39" si="3">+K30+M30</f>
        <v>0</v>
      </c>
      <c r="O30" s="45"/>
      <c r="P30" s="45"/>
      <c r="Q30" s="45"/>
      <c r="R30" s="45"/>
      <c r="S30" s="45"/>
    </row>
    <row r="31" spans="1:19" ht="18" customHeight="1">
      <c r="A31" s="8"/>
      <c r="B31" s="9"/>
      <c r="C31" s="10"/>
      <c r="D31" s="11"/>
      <c r="E31" s="12"/>
      <c r="F31" s="14"/>
      <c r="G31" s="12"/>
      <c r="H31" s="14"/>
      <c r="I31" s="12"/>
      <c r="J31" s="13"/>
      <c r="K31" s="57">
        <f t="shared" si="0"/>
        <v>0</v>
      </c>
      <c r="L31" s="23"/>
      <c r="M31" s="68"/>
      <c r="N31" s="59">
        <f t="shared" si="3"/>
        <v>0</v>
      </c>
      <c r="O31" s="45"/>
      <c r="P31" s="45"/>
      <c r="Q31" s="45"/>
      <c r="R31" s="45"/>
      <c r="S31" s="45"/>
    </row>
    <row r="32" spans="1:19" ht="18" customHeight="1">
      <c r="A32" s="8"/>
      <c r="B32" s="9"/>
      <c r="C32" s="10"/>
      <c r="D32" s="11"/>
      <c r="E32" s="12"/>
      <c r="F32" s="14"/>
      <c r="G32" s="12"/>
      <c r="H32" s="14"/>
      <c r="I32" s="12"/>
      <c r="J32" s="13"/>
      <c r="K32" s="57">
        <f t="shared" si="0"/>
        <v>0</v>
      </c>
      <c r="L32" s="23"/>
      <c r="M32" s="68"/>
      <c r="N32" s="59">
        <f t="shared" si="3"/>
        <v>0</v>
      </c>
      <c r="O32" s="45"/>
      <c r="P32" s="45"/>
      <c r="Q32" s="45"/>
      <c r="R32" s="45"/>
      <c r="S32" s="45"/>
    </row>
    <row r="33" spans="1:19" ht="18" customHeight="1">
      <c r="A33" s="8"/>
      <c r="B33" s="9"/>
      <c r="C33" s="10"/>
      <c r="D33" s="11"/>
      <c r="E33" s="12"/>
      <c r="F33" s="14"/>
      <c r="G33" s="12"/>
      <c r="H33" s="14"/>
      <c r="I33" s="12"/>
      <c r="J33" s="13"/>
      <c r="K33" s="57">
        <f t="shared" si="0"/>
        <v>0</v>
      </c>
      <c r="L33" s="23"/>
      <c r="M33" s="68"/>
      <c r="N33" s="59">
        <f t="shared" si="3"/>
        <v>0</v>
      </c>
      <c r="O33" s="45"/>
      <c r="P33" s="45"/>
      <c r="Q33" s="45"/>
      <c r="R33" s="45"/>
      <c r="S33" s="45"/>
    </row>
    <row r="34" spans="1:19" ht="18" customHeight="1">
      <c r="A34" s="8"/>
      <c r="B34" s="9"/>
      <c r="C34" s="10"/>
      <c r="D34" s="11"/>
      <c r="E34" s="12"/>
      <c r="F34" s="14"/>
      <c r="G34" s="12"/>
      <c r="H34" s="14"/>
      <c r="I34" s="12"/>
      <c r="J34" s="13"/>
      <c r="K34" s="57">
        <f t="shared" si="0"/>
        <v>0</v>
      </c>
      <c r="L34" s="23"/>
      <c r="M34" s="68"/>
      <c r="N34" s="59">
        <f t="shared" si="3"/>
        <v>0</v>
      </c>
      <c r="O34" s="45"/>
      <c r="P34" s="45"/>
      <c r="Q34" s="45"/>
      <c r="R34" s="45"/>
      <c r="S34" s="45"/>
    </row>
    <row r="35" spans="1:19" ht="18" customHeight="1">
      <c r="A35" s="8"/>
      <c r="B35" s="9"/>
      <c r="C35" s="10"/>
      <c r="D35" s="11"/>
      <c r="E35" s="12"/>
      <c r="F35" s="14"/>
      <c r="G35" s="12"/>
      <c r="H35" s="14"/>
      <c r="I35" s="12"/>
      <c r="J35" s="13"/>
      <c r="K35" s="57">
        <f t="shared" si="0"/>
        <v>0</v>
      </c>
      <c r="L35" s="23"/>
      <c r="M35" s="68"/>
      <c r="N35" s="59">
        <f t="shared" si="3"/>
        <v>0</v>
      </c>
      <c r="O35" s="45"/>
      <c r="P35" s="45"/>
      <c r="Q35" s="45"/>
      <c r="R35" s="45"/>
      <c r="S35" s="45"/>
    </row>
    <row r="36" spans="1:19" ht="18" customHeight="1">
      <c r="A36" s="8"/>
      <c r="B36" s="9"/>
      <c r="C36" s="10"/>
      <c r="D36" s="11"/>
      <c r="E36" s="12"/>
      <c r="F36" s="14"/>
      <c r="G36" s="12"/>
      <c r="H36" s="14"/>
      <c r="I36" s="12"/>
      <c r="J36" s="13"/>
      <c r="K36" s="57">
        <f t="shared" si="0"/>
        <v>0</v>
      </c>
      <c r="L36" s="23"/>
      <c r="M36" s="68"/>
      <c r="N36" s="59">
        <f t="shared" si="3"/>
        <v>0</v>
      </c>
      <c r="O36" s="45"/>
      <c r="P36" s="45"/>
      <c r="Q36" s="45"/>
      <c r="R36" s="45"/>
      <c r="S36" s="45"/>
    </row>
    <row r="37" spans="1:19" ht="18" customHeight="1">
      <c r="A37" s="8"/>
      <c r="B37" s="9"/>
      <c r="C37" s="10"/>
      <c r="D37" s="11"/>
      <c r="E37" s="12"/>
      <c r="F37" s="14"/>
      <c r="G37" s="12"/>
      <c r="H37" s="14"/>
      <c r="I37" s="12"/>
      <c r="J37" s="13"/>
      <c r="K37" s="57">
        <f t="shared" si="0"/>
        <v>0</v>
      </c>
      <c r="L37" s="23"/>
      <c r="M37" s="68"/>
      <c r="N37" s="59">
        <f t="shared" si="3"/>
        <v>0</v>
      </c>
      <c r="O37" s="45"/>
      <c r="P37" s="45"/>
      <c r="Q37" s="45"/>
      <c r="R37" s="45"/>
      <c r="S37" s="45"/>
    </row>
    <row r="38" spans="1:19" ht="18" customHeight="1">
      <c r="A38" s="8"/>
      <c r="B38" s="9"/>
      <c r="C38" s="10"/>
      <c r="D38" s="11"/>
      <c r="E38" s="12"/>
      <c r="F38" s="14"/>
      <c r="G38" s="12"/>
      <c r="H38" s="14"/>
      <c r="I38" s="12"/>
      <c r="J38" s="13"/>
      <c r="K38" s="57">
        <f t="shared" si="0"/>
        <v>0</v>
      </c>
      <c r="L38" s="23"/>
      <c r="M38" s="68"/>
      <c r="N38" s="59">
        <f t="shared" si="3"/>
        <v>0</v>
      </c>
      <c r="O38" s="45"/>
      <c r="P38" s="45"/>
      <c r="Q38" s="45"/>
      <c r="R38" s="45"/>
      <c r="S38" s="45"/>
    </row>
    <row r="39" spans="1:19" ht="18" customHeight="1">
      <c r="A39" s="8"/>
      <c r="B39" s="9"/>
      <c r="C39" s="10"/>
      <c r="D39" s="11"/>
      <c r="E39" s="12"/>
      <c r="F39" s="14"/>
      <c r="G39" s="12"/>
      <c r="H39" s="14"/>
      <c r="I39" s="12"/>
      <c r="J39" s="13"/>
      <c r="K39" s="57">
        <f t="shared" si="0"/>
        <v>0</v>
      </c>
      <c r="L39" s="23"/>
      <c r="M39" s="68"/>
      <c r="N39" s="59">
        <f t="shared" si="3"/>
        <v>0</v>
      </c>
      <c r="O39" s="45"/>
      <c r="P39" s="45"/>
      <c r="Q39" s="45"/>
      <c r="R39" s="45"/>
      <c r="S39" s="45"/>
    </row>
    <row r="40" spans="1:19" ht="18" customHeight="1">
      <c r="A40" s="8"/>
      <c r="B40" s="9"/>
      <c r="C40" s="10"/>
      <c r="D40" s="11"/>
      <c r="E40" s="12"/>
      <c r="F40" s="14"/>
      <c r="G40" s="12"/>
      <c r="H40" s="14"/>
      <c r="I40" s="12"/>
      <c r="J40" s="13"/>
      <c r="K40" s="57">
        <f t="shared" si="0"/>
        <v>0</v>
      </c>
      <c r="L40" s="23"/>
      <c r="M40" s="68"/>
      <c r="N40" s="59">
        <f t="shared" ref="N40:N46" si="4">+K40+M40</f>
        <v>0</v>
      </c>
      <c r="O40" s="45"/>
      <c r="P40" s="45"/>
      <c r="Q40" s="45"/>
      <c r="R40" s="45"/>
      <c r="S40" s="45"/>
    </row>
    <row r="41" spans="1:19" ht="18" customHeight="1">
      <c r="A41" s="8"/>
      <c r="B41" s="9"/>
      <c r="C41" s="10"/>
      <c r="D41" s="11"/>
      <c r="E41" s="12"/>
      <c r="F41" s="14"/>
      <c r="G41" s="12"/>
      <c r="H41" s="14"/>
      <c r="I41" s="12"/>
      <c r="J41" s="13"/>
      <c r="K41" s="57">
        <f t="shared" si="0"/>
        <v>0</v>
      </c>
      <c r="L41" s="23"/>
      <c r="M41" s="68"/>
      <c r="N41" s="59">
        <f t="shared" si="4"/>
        <v>0</v>
      </c>
      <c r="O41" s="45"/>
      <c r="P41" s="45"/>
      <c r="Q41" s="45"/>
      <c r="R41" s="45"/>
      <c r="S41" s="45"/>
    </row>
    <row r="42" spans="1:19" ht="18" customHeight="1">
      <c r="A42" s="8"/>
      <c r="B42" s="9"/>
      <c r="C42" s="10"/>
      <c r="D42" s="11"/>
      <c r="E42" s="12"/>
      <c r="F42" s="14"/>
      <c r="G42" s="12"/>
      <c r="H42" s="14"/>
      <c r="I42" s="12"/>
      <c r="J42" s="13"/>
      <c r="K42" s="57">
        <f t="shared" si="0"/>
        <v>0</v>
      </c>
      <c r="L42" s="23"/>
      <c r="M42" s="68"/>
      <c r="N42" s="59">
        <f t="shared" si="4"/>
        <v>0</v>
      </c>
      <c r="O42" s="45"/>
      <c r="P42" s="45"/>
      <c r="Q42" s="45"/>
      <c r="R42" s="45"/>
      <c r="S42" s="45"/>
    </row>
    <row r="43" spans="1:19" ht="18" customHeight="1">
      <c r="A43" s="8"/>
      <c r="B43" s="9"/>
      <c r="C43" s="10"/>
      <c r="D43" s="11"/>
      <c r="E43" s="12"/>
      <c r="F43" s="14"/>
      <c r="G43" s="12"/>
      <c r="H43" s="14"/>
      <c r="I43" s="12"/>
      <c r="J43" s="13"/>
      <c r="K43" s="57">
        <f t="shared" si="0"/>
        <v>0</v>
      </c>
      <c r="L43" s="23"/>
      <c r="M43" s="68"/>
      <c r="N43" s="59">
        <f t="shared" si="4"/>
        <v>0</v>
      </c>
      <c r="O43" s="45"/>
      <c r="P43" s="45"/>
      <c r="Q43" s="45"/>
      <c r="R43" s="45"/>
      <c r="S43" s="45"/>
    </row>
    <row r="44" spans="1:19" ht="18" customHeight="1">
      <c r="A44" s="8"/>
      <c r="B44" s="9"/>
      <c r="C44" s="10"/>
      <c r="D44" s="11"/>
      <c r="E44" s="12"/>
      <c r="F44" s="14"/>
      <c r="G44" s="12"/>
      <c r="H44" s="14"/>
      <c r="I44" s="12"/>
      <c r="J44" s="13"/>
      <c r="K44" s="57">
        <f t="shared" si="0"/>
        <v>0</v>
      </c>
      <c r="L44" s="23"/>
      <c r="M44" s="68"/>
      <c r="N44" s="59">
        <f t="shared" si="4"/>
        <v>0</v>
      </c>
      <c r="O44" s="45"/>
      <c r="P44" s="45"/>
      <c r="Q44" s="45"/>
      <c r="R44" s="45"/>
      <c r="S44" s="45"/>
    </row>
    <row r="45" spans="1:19" ht="18" customHeight="1">
      <c r="A45" s="8"/>
      <c r="B45" s="9"/>
      <c r="C45" s="10"/>
      <c r="D45" s="11"/>
      <c r="E45" s="12"/>
      <c r="F45" s="14"/>
      <c r="G45" s="12"/>
      <c r="H45" s="14"/>
      <c r="I45" s="12"/>
      <c r="J45" s="13"/>
      <c r="K45" s="57">
        <f t="shared" si="0"/>
        <v>0</v>
      </c>
      <c r="L45" s="23"/>
      <c r="M45" s="68"/>
      <c r="N45" s="59">
        <f t="shared" si="4"/>
        <v>0</v>
      </c>
      <c r="O45" s="45"/>
      <c r="P45" s="45"/>
      <c r="Q45" s="45"/>
      <c r="R45" s="45"/>
      <c r="S45" s="45"/>
    </row>
    <row r="46" spans="1:19" ht="18" customHeight="1" thickBot="1">
      <c r="A46" s="15"/>
      <c r="B46" s="16"/>
      <c r="C46" s="17"/>
      <c r="D46" s="18"/>
      <c r="E46" s="19"/>
      <c r="F46" s="21"/>
      <c r="G46" s="19"/>
      <c r="H46" s="21"/>
      <c r="I46" s="19"/>
      <c r="J46" s="20"/>
      <c r="K46" s="57">
        <f t="shared" si="0"/>
        <v>0</v>
      </c>
      <c r="L46" s="24"/>
      <c r="M46" s="69"/>
      <c r="N46" s="60">
        <f t="shared" si="4"/>
        <v>0</v>
      </c>
      <c r="O46" s="45"/>
      <c r="P46" s="45"/>
      <c r="Q46" s="45"/>
      <c r="R46" s="45"/>
      <c r="S46" s="45"/>
    </row>
    <row r="47" spans="1:19" ht="16.5" thickBo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61"/>
      <c r="P47" s="61"/>
      <c r="Q47" s="61"/>
      <c r="R47" s="61"/>
      <c r="S47" s="61"/>
    </row>
    <row r="48" spans="1:19" s="61" customFormat="1" ht="16.5" thickBot="1">
      <c r="A48" s="49" t="s">
        <v>28</v>
      </c>
      <c r="B48" s="51"/>
      <c r="C48" s="51"/>
      <c r="D48" s="51"/>
      <c r="E48" s="85"/>
      <c r="F48" s="85"/>
      <c r="G48" s="85"/>
      <c r="H48" s="48" t="s">
        <v>29</v>
      </c>
      <c r="I48" s="48"/>
      <c r="J48" s="92"/>
      <c r="K48" s="92"/>
      <c r="L48" s="51"/>
      <c r="M48" s="48" t="s">
        <v>30</v>
      </c>
      <c r="N48" s="62">
        <f>SUM(N12:N46)</f>
        <v>0</v>
      </c>
    </row>
    <row r="49" spans="1:19" s="61" customFormat="1" ht="15.7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9" s="61" customFormat="1" ht="9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  <row r="51" spans="1:19" s="61" customFormat="1" ht="15.75">
      <c r="A51" s="49" t="s">
        <v>31</v>
      </c>
      <c r="B51" s="51"/>
      <c r="C51" s="51"/>
      <c r="D51" s="51"/>
      <c r="E51" s="85"/>
      <c r="F51" s="85"/>
      <c r="G51" s="85"/>
      <c r="H51" s="48" t="s">
        <v>29</v>
      </c>
      <c r="I51" s="48"/>
      <c r="J51" s="86"/>
      <c r="K51" s="86"/>
      <c r="L51" s="48" t="s">
        <v>32</v>
      </c>
      <c r="M51" s="87"/>
      <c r="N51" s="87"/>
    </row>
    <row r="52" spans="1:19" s="61" customFormat="1" ht="15.7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</row>
    <row r="53" spans="1:19" s="61" customFormat="1" ht="15.75">
      <c r="A53" s="51" t="s">
        <v>33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spans="1:19" s="61" customFormat="1" ht="15.75">
      <c r="A54" s="51" t="s">
        <v>34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spans="1:19" s="61" customFormat="1" ht="15.75">
      <c r="A55" s="51" t="s">
        <v>35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spans="1:19" s="61" customFormat="1" ht="15.75">
      <c r="A56" s="51" t="s">
        <v>36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spans="1:19" s="61" customFormat="1" ht="15.75">
      <c r="A57" s="46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spans="1:19" s="61" customFormat="1" ht="15.75">
      <c r="A58" s="46" t="s">
        <v>37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63" t="s">
        <v>38</v>
      </c>
      <c r="N58" s="64">
        <v>45471</v>
      </c>
    </row>
    <row r="59" spans="1:1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</row>
    <row r="60" spans="1:19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</row>
    <row r="61" spans="1:19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</row>
    <row r="62" spans="1:19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</row>
    <row r="63" spans="1:19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</row>
    <row r="64" spans="1:19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</row>
    <row r="65" s="45" customFormat="1"/>
    <row r="66" s="45" customFormat="1"/>
    <row r="67" s="45" customFormat="1"/>
    <row r="68" s="45" customFormat="1"/>
    <row r="69" s="45" customFormat="1"/>
    <row r="70" s="45" customFormat="1"/>
    <row r="71" s="45" customFormat="1"/>
    <row r="72" s="45" customFormat="1"/>
    <row r="73" s="45" customFormat="1"/>
    <row r="74" s="45" customFormat="1"/>
    <row r="75" s="45" customFormat="1"/>
    <row r="76" s="45" customFormat="1"/>
    <row r="77" s="45" customFormat="1"/>
    <row r="78" s="45" customFormat="1"/>
    <row r="79" s="45" customFormat="1"/>
    <row r="80" s="45" customFormat="1"/>
    <row r="81" s="45" customFormat="1"/>
    <row r="82" s="45" customFormat="1"/>
    <row r="83" s="45" customFormat="1"/>
    <row r="84" s="45" customFormat="1"/>
    <row r="85" s="45" customFormat="1"/>
    <row r="86" s="45" customFormat="1"/>
    <row r="87" s="45" customFormat="1"/>
    <row r="88" s="45" customFormat="1"/>
    <row r="89" s="45" customFormat="1"/>
    <row r="90" s="45" customFormat="1"/>
    <row r="91" s="45" customFormat="1"/>
    <row r="92" s="45" customFormat="1"/>
    <row r="93" s="45" customFormat="1"/>
    <row r="94" s="45" customFormat="1"/>
    <row r="95" s="45" customFormat="1"/>
    <row r="96" s="45" customFormat="1"/>
    <row r="97" s="45" customFormat="1"/>
    <row r="98" s="45" customFormat="1"/>
    <row r="99" s="45" customFormat="1"/>
    <row r="100" s="45" customFormat="1"/>
    <row r="101" s="45" customFormat="1"/>
    <row r="102" s="45" customFormat="1"/>
    <row r="103" s="45" customFormat="1"/>
    <row r="104" s="45" customFormat="1"/>
    <row r="105" s="45" customFormat="1"/>
    <row r="106" s="45" customFormat="1"/>
    <row r="107" s="45" customFormat="1"/>
  </sheetData>
  <sheetProtection algorithmName="SHA-512" hashValue="d4Txhx2Mfv5Qu65UKPGnC8HFf9lSOj1IfGdt/8mK1ZxfAYoi9SdozDCOdceAJu+54ma67mCTQvSXkAuhuf7bvg==" saltValue="AqB84hG/2eY61BZF9vwppw==" spinCount="100000" sheet="1" objects="1" scenarios="1"/>
  <mergeCells count="8">
    <mergeCell ref="B7:D7"/>
    <mergeCell ref="D10:K10"/>
    <mergeCell ref="L10:N10"/>
    <mergeCell ref="E48:G48"/>
    <mergeCell ref="E51:G51"/>
    <mergeCell ref="J48:K48"/>
    <mergeCell ref="J51:K51"/>
    <mergeCell ref="M51:N51"/>
  </mergeCells>
  <conditionalFormatting sqref="H51:I51 J50 H48:I48">
    <cfRule type="uniqueValues" dxfId="0" priority="3"/>
  </conditionalFormatting>
  <dataValidations count="3">
    <dataValidation type="list" allowBlank="1" showInputMessage="1" showErrorMessage="1" sqref="L13:L46" xr:uid="{33304E0D-BDD7-4636-910A-39E6C3DE3980}">
      <formula1>"X"</formula1>
    </dataValidation>
    <dataValidation type="list" allowBlank="1" showInputMessage="1" showErrorMessage="1" sqref="H12:H46" xr:uid="{65D87340-E642-4396-B7EC-888251E7E2EB}">
      <formula1>"Oui,Non"</formula1>
    </dataValidation>
    <dataValidation type="list" allowBlank="1" showInputMessage="1" showErrorMessage="1" sqref="F12:F46" xr:uid="{B5543FDD-6008-4409-9A3B-C75C48E0BB71}">
      <formula1>"Aller seulement,Aller/retour"</formula1>
    </dataValidation>
  </dataValidations>
  <printOptions horizontalCentered="1"/>
  <pageMargins left="0.27" right="0.21" top="0.27559055118110237" bottom="0.31496062992125984" header="0.31496062992125984" footer="0.31496062992125984"/>
  <pageSetup scale="51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B5CC-0EC1-494D-BFF5-4E627E9F0991}">
  <dimension ref="A1:BC82"/>
  <sheetViews>
    <sheetView zoomScale="70" zoomScaleNormal="70" workbookViewId="0">
      <selection activeCell="J38" sqref="J38"/>
    </sheetView>
  </sheetViews>
  <sheetFormatPr defaultColWidth="11.5703125" defaultRowHeight="15"/>
  <cols>
    <col min="1" max="1" width="47.7109375" style="38" customWidth="1"/>
    <col min="2" max="2" width="5.28515625" style="33" customWidth="1"/>
    <col min="3" max="5" width="5.42578125" style="33" bestFit="1" customWidth="1"/>
    <col min="6" max="6" width="5.28515625" style="33" bestFit="1" customWidth="1"/>
    <col min="7" max="7" width="5.42578125" style="33" customWidth="1"/>
    <col min="8" max="8" width="5.28515625" style="33" bestFit="1" customWidth="1"/>
    <col min="9" max="9" width="5.42578125" style="33" bestFit="1" customWidth="1"/>
    <col min="10" max="11" width="5.28515625" style="33" bestFit="1" customWidth="1"/>
    <col min="12" max="12" width="5.42578125" style="33" bestFit="1" customWidth="1"/>
    <col min="13" max="13" width="5.42578125" style="33" customWidth="1"/>
    <col min="14" max="14" width="5.28515625" style="33" customWidth="1"/>
    <col min="15" max="16" width="5.42578125" style="33" customWidth="1"/>
    <col min="17" max="17" width="5.42578125" style="33" bestFit="1" customWidth="1"/>
    <col min="18" max="19" width="5.42578125" style="33" customWidth="1"/>
    <col min="20" max="21" width="5.42578125" style="33" bestFit="1" customWidth="1"/>
    <col min="22" max="22" width="5.42578125" style="33" customWidth="1"/>
    <col min="23" max="24" width="5.42578125" style="33" bestFit="1" customWidth="1"/>
    <col min="25" max="25" width="5.28515625" style="33" bestFit="1" customWidth="1"/>
    <col min="26" max="29" width="5.42578125" style="33" bestFit="1" customWidth="1"/>
    <col min="30" max="30" width="5.42578125" style="33" customWidth="1"/>
    <col min="31" max="31" width="5.28515625" style="33" bestFit="1" customWidth="1"/>
    <col min="32" max="32" width="5.42578125" style="33" bestFit="1" customWidth="1"/>
    <col min="33" max="36" width="5.28515625" style="33" bestFit="1" customWidth="1"/>
    <col min="37" max="38" width="5.42578125" style="33" bestFit="1" customWidth="1"/>
    <col min="39" max="39" width="5.28515625" style="33" bestFit="1" customWidth="1"/>
    <col min="40" max="40" width="5.42578125" style="33" bestFit="1" customWidth="1"/>
    <col min="41" max="42" width="5.28515625" style="33" bestFit="1" customWidth="1"/>
    <col min="43" max="43" width="5.42578125" style="33" bestFit="1" customWidth="1"/>
    <col min="44" max="45" width="5.28515625" style="33" bestFit="1" customWidth="1"/>
    <col min="46" max="46" width="5.28515625" style="33" customWidth="1"/>
    <col min="47" max="47" width="5.42578125" style="33" customWidth="1"/>
    <col min="48" max="48" width="5.28515625" style="33" bestFit="1" customWidth="1"/>
    <col min="49" max="49" width="1.140625" style="33" customWidth="1"/>
    <col min="50" max="52" width="5.42578125" style="33" customWidth="1"/>
    <col min="53" max="54" width="11.5703125" style="33"/>
    <col min="55" max="55" width="17.7109375" style="33" hidden="1" customWidth="1"/>
    <col min="56" max="16384" width="11.5703125" style="33"/>
  </cols>
  <sheetData>
    <row r="1" spans="1:55" ht="24.75">
      <c r="A1" s="43" t="s">
        <v>39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</row>
    <row r="2" spans="1:55" ht="6.6" customHeight="1">
      <c r="A2" s="40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</row>
    <row r="3" spans="1:55" ht="19.5">
      <c r="A3" s="40" t="s">
        <v>40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</row>
    <row r="4" spans="1:55" ht="19.5">
      <c r="A4" s="40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</row>
    <row r="5" spans="1:55" ht="19.5">
      <c r="A5" s="40" t="s">
        <v>41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</row>
    <row r="6" spans="1:5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</row>
    <row r="7" spans="1:55" ht="22.5">
      <c r="A7" s="41" t="s">
        <v>42</v>
      </c>
      <c r="B7" s="88" t="s">
        <v>43</v>
      </c>
      <c r="C7" s="88"/>
      <c r="D7" s="88"/>
      <c r="E7" s="88"/>
      <c r="F7" s="88"/>
      <c r="G7" s="88"/>
      <c r="H7" s="88"/>
      <c r="I7" s="8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BC7" s="33">
        <f>VLOOKUP(B7,A13:BC59,55,FALSE)</f>
        <v>2</v>
      </c>
    </row>
    <row r="8" spans="1:55" ht="22.5">
      <c r="A8" s="41" t="s">
        <v>44</v>
      </c>
      <c r="B8" s="88" t="s">
        <v>45</v>
      </c>
      <c r="C8" s="88"/>
      <c r="D8" s="88"/>
      <c r="E8" s="88"/>
      <c r="F8" s="88"/>
      <c r="G8" s="88"/>
      <c r="H8" s="88"/>
      <c r="I8" s="8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BC8" s="33">
        <f>VLOOKUP(B8,A13:BC59,55,FALSE)+1</f>
        <v>39</v>
      </c>
    </row>
    <row r="9" spans="1:55" ht="22.5">
      <c r="A9" s="41" t="s">
        <v>46</v>
      </c>
      <c r="B9" s="89" cm="1">
        <f t="array" ref="B9">INDEX(A13:AV59,BC7,BC8)</f>
        <v>13.945</v>
      </c>
      <c r="C9" s="89"/>
      <c r="D9" s="89"/>
      <c r="E9" s="42"/>
      <c r="F9" s="42"/>
      <c r="G9" s="42"/>
      <c r="H9" s="42"/>
      <c r="I9" s="42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</row>
    <row r="10" spans="1:5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</row>
    <row r="11" spans="1:55" ht="6.6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spans="1:55" s="35" customFormat="1" ht="240.6" customHeight="1">
      <c r="A12" s="29" t="s">
        <v>47</v>
      </c>
      <c r="B12" s="30" t="s">
        <v>48</v>
      </c>
      <c r="C12" s="28" t="s">
        <v>43</v>
      </c>
      <c r="D12" s="28" t="s">
        <v>49</v>
      </c>
      <c r="E12" s="28" t="s">
        <v>50</v>
      </c>
      <c r="F12" s="28" t="s">
        <v>51</v>
      </c>
      <c r="G12" s="28" t="s">
        <v>52</v>
      </c>
      <c r="H12" s="28" t="s">
        <v>53</v>
      </c>
      <c r="I12" s="28" t="s">
        <v>54</v>
      </c>
      <c r="J12" s="28" t="s">
        <v>55</v>
      </c>
      <c r="K12" s="28" t="s">
        <v>56</v>
      </c>
      <c r="L12" s="28" t="s">
        <v>57</v>
      </c>
      <c r="M12" s="28" t="s">
        <v>58</v>
      </c>
      <c r="N12" s="28" t="s">
        <v>59</v>
      </c>
      <c r="O12" s="28" t="s">
        <v>60</v>
      </c>
      <c r="P12" s="28" t="s">
        <v>61</v>
      </c>
      <c r="Q12" s="28" t="s">
        <v>62</v>
      </c>
      <c r="R12" s="28" t="s">
        <v>63</v>
      </c>
      <c r="S12" s="28" t="s">
        <v>64</v>
      </c>
      <c r="T12" s="28" t="s">
        <v>65</v>
      </c>
      <c r="U12" s="28" t="s">
        <v>66</v>
      </c>
      <c r="V12" s="28" t="s">
        <v>67</v>
      </c>
      <c r="W12" s="28" t="s">
        <v>68</v>
      </c>
      <c r="X12" s="28" t="s">
        <v>69</v>
      </c>
      <c r="Y12" s="28" t="s">
        <v>70</v>
      </c>
      <c r="Z12" s="28" t="s">
        <v>71</v>
      </c>
      <c r="AA12" s="28" t="s">
        <v>72</v>
      </c>
      <c r="AB12" s="28" t="s">
        <v>73</v>
      </c>
      <c r="AC12" s="28" t="s">
        <v>74</v>
      </c>
      <c r="AD12" s="28" t="s">
        <v>75</v>
      </c>
      <c r="AE12" s="28" t="s">
        <v>76</v>
      </c>
      <c r="AF12" s="28" t="s">
        <v>77</v>
      </c>
      <c r="AG12" s="28" t="s">
        <v>78</v>
      </c>
      <c r="AH12" s="28" t="s">
        <v>79</v>
      </c>
      <c r="AI12" s="28" t="s">
        <v>80</v>
      </c>
      <c r="AJ12" s="28" t="s">
        <v>81</v>
      </c>
      <c r="AK12" s="28" t="s">
        <v>82</v>
      </c>
      <c r="AL12" s="28" t="s">
        <v>83</v>
      </c>
      <c r="AM12" s="28" t="s">
        <v>45</v>
      </c>
      <c r="AN12" s="28" t="s">
        <v>84</v>
      </c>
      <c r="AO12" s="28" t="s">
        <v>85</v>
      </c>
      <c r="AP12" s="28" t="s">
        <v>86</v>
      </c>
      <c r="AQ12" s="28" t="s">
        <v>87</v>
      </c>
      <c r="AR12" s="28" t="s">
        <v>88</v>
      </c>
      <c r="AS12" s="28" t="s">
        <v>89</v>
      </c>
      <c r="AT12" s="28" t="s">
        <v>90</v>
      </c>
      <c r="AU12" s="28" t="s">
        <v>91</v>
      </c>
      <c r="AV12" s="28" t="s">
        <v>92</v>
      </c>
      <c r="AW12" s="32"/>
      <c r="AX12" s="34"/>
      <c r="AY12" s="34"/>
      <c r="AZ12" s="34"/>
    </row>
    <row r="13" spans="1:55" ht="15.75">
      <c r="A13" s="26" t="s">
        <v>48</v>
      </c>
      <c r="B13" s="25">
        <v>0</v>
      </c>
      <c r="C13" s="25">
        <v>39</v>
      </c>
      <c r="D13" s="25">
        <v>43</v>
      </c>
      <c r="E13" s="25">
        <v>42.2</v>
      </c>
      <c r="F13" s="25">
        <v>41.5</v>
      </c>
      <c r="G13" s="25">
        <v>0</v>
      </c>
      <c r="H13" s="25">
        <v>38.799999999999997</v>
      </c>
      <c r="I13" s="25">
        <v>42.4</v>
      </c>
      <c r="J13" s="25">
        <v>37</v>
      </c>
      <c r="K13" s="25">
        <v>37.799999999999997</v>
      </c>
      <c r="L13" s="25">
        <v>34.700000000000003</v>
      </c>
      <c r="M13" s="25">
        <v>41.4</v>
      </c>
      <c r="N13" s="25">
        <v>36.299999999999997</v>
      </c>
      <c r="O13" s="25">
        <v>39.799999999999997</v>
      </c>
      <c r="P13" s="25">
        <v>36.799999999999997</v>
      </c>
      <c r="Q13" s="25">
        <v>41.6</v>
      </c>
      <c r="R13" s="25">
        <v>41.6</v>
      </c>
      <c r="S13" s="25">
        <v>39.9</v>
      </c>
      <c r="T13" s="25">
        <v>24.3</v>
      </c>
      <c r="U13" s="25">
        <v>30</v>
      </c>
      <c r="V13" s="25">
        <v>40.5</v>
      </c>
      <c r="W13" s="25">
        <v>37.5</v>
      </c>
      <c r="X13" s="25">
        <v>0</v>
      </c>
      <c r="Y13" s="25">
        <v>41.4</v>
      </c>
      <c r="Z13" s="25">
        <v>41.9</v>
      </c>
      <c r="AA13" s="25">
        <v>41.8</v>
      </c>
      <c r="AB13" s="25">
        <v>34.200000000000003</v>
      </c>
      <c r="AC13" s="25">
        <v>26.3</v>
      </c>
      <c r="AD13" s="25">
        <v>37.6</v>
      </c>
      <c r="AE13" s="25">
        <v>39.200000000000003</v>
      </c>
      <c r="AF13" s="25">
        <v>38.5</v>
      </c>
      <c r="AG13" s="25">
        <v>37.1</v>
      </c>
      <c r="AH13" s="25">
        <v>37.299999999999997</v>
      </c>
      <c r="AI13" s="25">
        <v>41.5</v>
      </c>
      <c r="AJ13" s="25">
        <v>34</v>
      </c>
      <c r="AK13" s="25">
        <v>42.6</v>
      </c>
      <c r="AL13" s="25">
        <v>42.1</v>
      </c>
      <c r="AM13" s="25">
        <v>43.5</v>
      </c>
      <c r="AN13" s="25">
        <v>43.3</v>
      </c>
      <c r="AO13" s="25">
        <v>35.4</v>
      </c>
      <c r="AP13" s="25">
        <v>43.1</v>
      </c>
      <c r="AQ13" s="25">
        <v>40.4</v>
      </c>
      <c r="AR13" s="25">
        <v>41.5</v>
      </c>
      <c r="AS13" s="25">
        <v>35.9</v>
      </c>
      <c r="AT13" s="25">
        <v>39.4</v>
      </c>
      <c r="AU13" s="25">
        <v>38</v>
      </c>
      <c r="AV13" s="25">
        <v>38.5</v>
      </c>
      <c r="AW13" s="31"/>
      <c r="BC13" s="33">
        <v>1</v>
      </c>
    </row>
    <row r="14" spans="1:55">
      <c r="A14" s="27" t="s">
        <v>43</v>
      </c>
      <c r="B14" s="25">
        <v>39</v>
      </c>
      <c r="C14" s="25">
        <v>0</v>
      </c>
      <c r="D14" s="25">
        <v>3.3109999999999999</v>
      </c>
      <c r="E14" s="25">
        <v>12.098000000000001</v>
      </c>
      <c r="F14" s="25">
        <v>1.575</v>
      </c>
      <c r="G14" s="25">
        <v>39</v>
      </c>
      <c r="H14" s="25">
        <v>1.639</v>
      </c>
      <c r="I14" s="25">
        <v>2.7639999999999998</v>
      </c>
      <c r="J14" s="25">
        <v>5.0869999999999997</v>
      </c>
      <c r="K14" s="25">
        <v>2.5840000000000001</v>
      </c>
      <c r="L14" s="25">
        <v>5.3150000000000004</v>
      </c>
      <c r="M14" s="25">
        <v>11.6</v>
      </c>
      <c r="N14" s="25">
        <v>8</v>
      </c>
      <c r="O14" s="25">
        <v>0.4</v>
      </c>
      <c r="P14" s="25">
        <v>7.4</v>
      </c>
      <c r="Q14" s="25">
        <v>11.7</v>
      </c>
      <c r="R14" s="25">
        <v>11.7</v>
      </c>
      <c r="S14" s="25">
        <v>13.4</v>
      </c>
      <c r="T14" s="25">
        <v>28.488</v>
      </c>
      <c r="U14" s="25">
        <v>52.213999999999999</v>
      </c>
      <c r="V14" s="25">
        <v>10.9</v>
      </c>
      <c r="W14" s="25">
        <v>6.3</v>
      </c>
      <c r="X14" s="25">
        <v>40.5</v>
      </c>
      <c r="Y14" s="25">
        <v>9.0619999999999994</v>
      </c>
      <c r="Z14" s="25">
        <v>12.487</v>
      </c>
      <c r="AA14" s="25">
        <v>12.083</v>
      </c>
      <c r="AB14" s="25">
        <v>6.5229999999999997</v>
      </c>
      <c r="AC14" s="25">
        <v>13.5</v>
      </c>
      <c r="AD14" s="25">
        <v>8.1999999999999993</v>
      </c>
      <c r="AE14" s="25">
        <v>2.573</v>
      </c>
      <c r="AF14" s="25">
        <v>10.260999999999999</v>
      </c>
      <c r="AG14" s="25">
        <v>3.891</v>
      </c>
      <c r="AH14" s="25">
        <v>6.0179999999999998</v>
      </c>
      <c r="AI14" s="25">
        <v>11.433999999999999</v>
      </c>
      <c r="AJ14" s="25">
        <v>6.06</v>
      </c>
      <c r="AK14" s="25">
        <v>12.427</v>
      </c>
      <c r="AL14" s="25">
        <v>11.685</v>
      </c>
      <c r="AM14" s="25">
        <v>13.945</v>
      </c>
      <c r="AN14" s="25">
        <v>13.608000000000001</v>
      </c>
      <c r="AO14" s="25">
        <v>4.8230000000000004</v>
      </c>
      <c r="AP14" s="25">
        <v>3.4</v>
      </c>
      <c r="AQ14" s="25">
        <v>0.76900000000000002</v>
      </c>
      <c r="AR14" s="25">
        <v>1.835</v>
      </c>
      <c r="AS14" s="25">
        <v>4.0960000000000001</v>
      </c>
      <c r="AT14" s="25">
        <v>0.373</v>
      </c>
      <c r="AU14" s="25">
        <v>1.9</v>
      </c>
      <c r="AV14" s="25">
        <v>3.1549999999999998</v>
      </c>
      <c r="AW14" s="31"/>
      <c r="BC14" s="33">
        <v>2</v>
      </c>
    </row>
    <row r="15" spans="1:55" ht="15.75">
      <c r="A15" s="26" t="s">
        <v>49</v>
      </c>
      <c r="B15" s="25">
        <v>43</v>
      </c>
      <c r="C15" s="25">
        <v>3.266</v>
      </c>
      <c r="D15" s="25">
        <v>0</v>
      </c>
      <c r="E15" s="25">
        <v>8.3569999999999993</v>
      </c>
      <c r="F15" s="25">
        <v>2.484</v>
      </c>
      <c r="G15" s="25">
        <v>43</v>
      </c>
      <c r="H15" s="25">
        <v>2.867</v>
      </c>
      <c r="I15" s="25">
        <v>1.3580000000000001</v>
      </c>
      <c r="J15" s="25">
        <v>5.6820000000000004</v>
      </c>
      <c r="K15" s="25">
        <v>5.2839999999999998</v>
      </c>
      <c r="L15" s="25">
        <v>6.9009999999999998</v>
      </c>
      <c r="M15" s="25">
        <v>6.9</v>
      </c>
      <c r="N15" s="25">
        <v>11.215999999999999</v>
      </c>
      <c r="O15" s="25">
        <v>3.7</v>
      </c>
      <c r="P15" s="25">
        <v>6.9</v>
      </c>
      <c r="Q15" s="25">
        <v>9.3000000000000007</v>
      </c>
      <c r="R15" s="25">
        <v>7</v>
      </c>
      <c r="S15" s="25">
        <v>11</v>
      </c>
      <c r="T15" s="25">
        <v>25.074000000000002</v>
      </c>
      <c r="U15" s="25">
        <v>48.8</v>
      </c>
      <c r="V15" s="25">
        <v>5.0999999999999996</v>
      </c>
      <c r="W15" s="25">
        <v>6.0069999999999997</v>
      </c>
      <c r="X15" s="25">
        <v>52.137</v>
      </c>
      <c r="Y15" s="25">
        <v>5.9809999999999999</v>
      </c>
      <c r="Z15" s="25">
        <v>10.398999999999999</v>
      </c>
      <c r="AA15" s="25">
        <v>9.9939999999999998</v>
      </c>
      <c r="AB15" s="25">
        <v>10.583</v>
      </c>
      <c r="AC15" s="25">
        <v>31.574999999999999</v>
      </c>
      <c r="AD15" s="25">
        <v>7.6</v>
      </c>
      <c r="AE15" s="25">
        <v>3.4159999999999999</v>
      </c>
      <c r="AF15" s="25">
        <v>9.6679999999999993</v>
      </c>
      <c r="AG15" s="25">
        <v>5.1340000000000003</v>
      </c>
      <c r="AH15" s="25">
        <v>5.0759999999999996</v>
      </c>
      <c r="AI15" s="25">
        <v>8.8919999999999995</v>
      </c>
      <c r="AJ15" s="25">
        <v>6.6550000000000002</v>
      </c>
      <c r="AK15" s="25">
        <v>7.76</v>
      </c>
      <c r="AL15" s="25">
        <v>9.5960000000000001</v>
      </c>
      <c r="AM15" s="25">
        <v>9.0589999999999993</v>
      </c>
      <c r="AN15" s="25">
        <v>9.1240000000000006</v>
      </c>
      <c r="AO15" s="25">
        <v>5.79</v>
      </c>
      <c r="AP15" s="25">
        <v>5.78</v>
      </c>
      <c r="AQ15" s="25">
        <v>3.6869999999999998</v>
      </c>
      <c r="AR15" s="25">
        <v>2.262</v>
      </c>
      <c r="AS15" s="25">
        <v>6.0519999999999996</v>
      </c>
      <c r="AT15" s="25">
        <v>3.577</v>
      </c>
      <c r="AU15" s="25">
        <v>2.2000000000000002</v>
      </c>
      <c r="AV15" s="25">
        <v>5.3339999999999996</v>
      </c>
      <c r="AW15" s="31"/>
      <c r="BC15" s="33">
        <v>3</v>
      </c>
    </row>
    <row r="16" spans="1:55" ht="15.75">
      <c r="A16" s="26" t="s">
        <v>50</v>
      </c>
      <c r="B16" s="25">
        <v>42.2</v>
      </c>
      <c r="C16" s="25">
        <v>12.069000000000001</v>
      </c>
      <c r="D16" s="25">
        <v>11.291</v>
      </c>
      <c r="E16" s="25">
        <v>0</v>
      </c>
      <c r="F16" s="25">
        <v>10.627000000000001</v>
      </c>
      <c r="G16" s="25">
        <v>42.2</v>
      </c>
      <c r="H16" s="25">
        <v>11.164</v>
      </c>
      <c r="I16" s="25">
        <v>12.641</v>
      </c>
      <c r="J16" s="25">
        <v>13.773999999999999</v>
      </c>
      <c r="K16" s="25">
        <v>12.558999999999999</v>
      </c>
      <c r="L16" s="25">
        <v>14.993</v>
      </c>
      <c r="M16" s="25">
        <v>3.4</v>
      </c>
      <c r="N16" s="25">
        <v>7.7560000000000002</v>
      </c>
      <c r="O16" s="25">
        <v>12.5</v>
      </c>
      <c r="P16" s="25">
        <v>6.2</v>
      </c>
      <c r="Q16" s="25">
        <v>2.4</v>
      </c>
      <c r="R16" s="25">
        <v>1.8</v>
      </c>
      <c r="S16" s="25">
        <v>3.8</v>
      </c>
      <c r="T16" s="25">
        <v>19.177</v>
      </c>
      <c r="U16" s="25">
        <v>42.902999999999999</v>
      </c>
      <c r="V16" s="25">
        <v>3.6</v>
      </c>
      <c r="W16" s="25">
        <v>7.2549999999999999</v>
      </c>
      <c r="X16" s="25">
        <v>51.323999999999998</v>
      </c>
      <c r="Y16" s="25">
        <v>5.5220000000000002</v>
      </c>
      <c r="Z16" s="25">
        <v>3.1760000000000002</v>
      </c>
      <c r="AA16" s="25">
        <v>1.478</v>
      </c>
      <c r="AB16" s="25">
        <v>19.225999999999999</v>
      </c>
      <c r="AC16" s="25">
        <v>30.763000000000002</v>
      </c>
      <c r="AD16" s="25">
        <v>5.8</v>
      </c>
      <c r="AE16" s="25">
        <v>11.323</v>
      </c>
      <c r="AF16" s="25">
        <v>6.8879999999999999</v>
      </c>
      <c r="AG16" s="25">
        <v>12.409000000000001</v>
      </c>
      <c r="AH16" s="25">
        <v>8.8789999999999996</v>
      </c>
      <c r="AI16" s="25">
        <v>0.71799999999999997</v>
      </c>
      <c r="AJ16" s="25">
        <v>14.747</v>
      </c>
      <c r="AK16" s="25">
        <v>1.516</v>
      </c>
      <c r="AL16" s="25">
        <v>1.0329999999999999</v>
      </c>
      <c r="AM16" s="25">
        <v>1.8160000000000001</v>
      </c>
      <c r="AN16" s="25">
        <v>1.397</v>
      </c>
      <c r="AO16" s="25">
        <v>13.882</v>
      </c>
      <c r="AP16" s="25">
        <v>8.1579999999999995</v>
      </c>
      <c r="AQ16" s="25">
        <v>12.49</v>
      </c>
      <c r="AR16" s="25">
        <v>11.24</v>
      </c>
      <c r="AS16" s="25">
        <v>13.327</v>
      </c>
      <c r="AT16" s="25">
        <v>12.38</v>
      </c>
      <c r="AU16" s="25">
        <v>13.9</v>
      </c>
      <c r="AV16" s="25">
        <v>13.977</v>
      </c>
      <c r="AW16" s="31"/>
      <c r="BC16" s="33">
        <v>4</v>
      </c>
    </row>
    <row r="17" spans="1:55" ht="15.75">
      <c r="A17" s="26" t="s">
        <v>51</v>
      </c>
      <c r="B17" s="25">
        <v>41.5</v>
      </c>
      <c r="C17" s="25">
        <v>1.6339999999999999</v>
      </c>
      <c r="D17" s="25">
        <v>3.218</v>
      </c>
      <c r="E17" s="25">
        <v>10.715</v>
      </c>
      <c r="F17" s="25">
        <v>0</v>
      </c>
      <c r="G17" s="25">
        <v>41.5</v>
      </c>
      <c r="H17" s="25">
        <v>0.72899999999999998</v>
      </c>
      <c r="I17" s="25">
        <v>1.915</v>
      </c>
      <c r="J17" s="25">
        <v>3.7040000000000002</v>
      </c>
      <c r="K17" s="25">
        <v>3.306</v>
      </c>
      <c r="L17" s="25">
        <v>4.923</v>
      </c>
      <c r="M17" s="25">
        <v>10.1</v>
      </c>
      <c r="N17" s="25">
        <v>10.220000000000001</v>
      </c>
      <c r="O17" s="25">
        <v>2.4</v>
      </c>
      <c r="P17" s="25">
        <v>5.9</v>
      </c>
      <c r="Q17" s="25">
        <v>10.199999999999999</v>
      </c>
      <c r="R17" s="25">
        <v>10.3</v>
      </c>
      <c r="S17" s="25">
        <v>11.9</v>
      </c>
      <c r="T17" s="25">
        <v>27.105</v>
      </c>
      <c r="U17" s="25">
        <v>50.831000000000003</v>
      </c>
      <c r="V17" s="25">
        <v>9.1</v>
      </c>
      <c r="W17" s="25">
        <v>5.1150000000000002</v>
      </c>
      <c r="X17" s="25">
        <v>50.344999999999999</v>
      </c>
      <c r="Y17" s="25">
        <v>8.9700000000000006</v>
      </c>
      <c r="Z17" s="25">
        <v>11.105</v>
      </c>
      <c r="AA17" s="25">
        <v>10.7</v>
      </c>
      <c r="AB17" s="25">
        <v>8.7910000000000004</v>
      </c>
      <c r="AC17" s="25">
        <v>29.783000000000001</v>
      </c>
      <c r="AD17" s="25">
        <v>6.7</v>
      </c>
      <c r="AE17" s="25">
        <v>1.2529999999999999</v>
      </c>
      <c r="AF17" s="25">
        <v>8.8780000000000001</v>
      </c>
      <c r="AG17" s="25">
        <v>3.1560000000000001</v>
      </c>
      <c r="AH17" s="25">
        <v>4.6349999999999998</v>
      </c>
      <c r="AI17" s="25">
        <v>10.051</v>
      </c>
      <c r="AJ17" s="25">
        <v>4.6769999999999996</v>
      </c>
      <c r="AK17" s="25">
        <v>11.045</v>
      </c>
      <c r="AL17" s="25">
        <v>10.302</v>
      </c>
      <c r="AM17" s="25">
        <v>12.563000000000001</v>
      </c>
      <c r="AN17" s="25">
        <v>12.226000000000001</v>
      </c>
      <c r="AO17" s="25">
        <v>3.8119999999999998</v>
      </c>
      <c r="AP17" s="25">
        <v>5.0510000000000002</v>
      </c>
      <c r="AQ17" s="25">
        <v>2.0550000000000002</v>
      </c>
      <c r="AR17" s="25">
        <v>0.35399999999999998</v>
      </c>
      <c r="AS17" s="25">
        <v>4.0739999999999998</v>
      </c>
      <c r="AT17" s="25">
        <v>1.9450000000000001</v>
      </c>
      <c r="AU17" s="25">
        <v>0.6</v>
      </c>
      <c r="AV17" s="25">
        <v>3.5419999999999998</v>
      </c>
      <c r="AW17" s="31"/>
      <c r="BC17" s="33">
        <v>5</v>
      </c>
    </row>
    <row r="18" spans="1:55" ht="15.75">
      <c r="A18" s="26" t="s">
        <v>52</v>
      </c>
      <c r="B18" s="25">
        <v>0</v>
      </c>
      <c r="C18" s="25">
        <v>39</v>
      </c>
      <c r="D18" s="25">
        <v>43</v>
      </c>
      <c r="E18" s="25">
        <v>42.2</v>
      </c>
      <c r="F18" s="25">
        <v>41.5</v>
      </c>
      <c r="G18" s="25">
        <v>0</v>
      </c>
      <c r="H18" s="25">
        <v>38.799999999999997</v>
      </c>
      <c r="I18" s="25">
        <v>42.4</v>
      </c>
      <c r="J18" s="25">
        <v>37</v>
      </c>
      <c r="K18" s="25">
        <v>37.799999999999997</v>
      </c>
      <c r="L18" s="25">
        <v>34.700000000000003</v>
      </c>
      <c r="M18" s="25">
        <v>41.4</v>
      </c>
      <c r="N18" s="25">
        <v>36.299999999999997</v>
      </c>
      <c r="O18" s="25">
        <v>39.799999999999997</v>
      </c>
      <c r="P18" s="25">
        <v>36.799999999999997</v>
      </c>
      <c r="Q18" s="25">
        <v>41.6</v>
      </c>
      <c r="R18" s="25">
        <v>41.6</v>
      </c>
      <c r="S18" s="25">
        <v>39.9</v>
      </c>
      <c r="T18" s="25">
        <v>24.3</v>
      </c>
      <c r="U18" s="25">
        <v>30</v>
      </c>
      <c r="V18" s="25">
        <v>40.5</v>
      </c>
      <c r="W18" s="25">
        <v>37.5</v>
      </c>
      <c r="X18" s="25">
        <v>0</v>
      </c>
      <c r="Y18" s="25">
        <v>41.4</v>
      </c>
      <c r="Z18" s="25">
        <v>41.9</v>
      </c>
      <c r="AA18" s="25">
        <v>41.8</v>
      </c>
      <c r="AB18" s="25">
        <v>34.200000000000003</v>
      </c>
      <c r="AC18" s="25">
        <v>26.3</v>
      </c>
      <c r="AD18" s="25">
        <v>37.6</v>
      </c>
      <c r="AE18" s="25">
        <v>39.200000000000003</v>
      </c>
      <c r="AF18" s="25">
        <v>38.5</v>
      </c>
      <c r="AG18" s="25">
        <v>37.1</v>
      </c>
      <c r="AH18" s="25">
        <v>37.299999999999997</v>
      </c>
      <c r="AI18" s="25">
        <v>41.5</v>
      </c>
      <c r="AJ18" s="25">
        <v>34</v>
      </c>
      <c r="AK18" s="25">
        <v>42.6</v>
      </c>
      <c r="AL18" s="25">
        <v>42.1</v>
      </c>
      <c r="AM18" s="25">
        <v>43.5</v>
      </c>
      <c r="AN18" s="25">
        <v>43.3</v>
      </c>
      <c r="AO18" s="25">
        <v>35.4</v>
      </c>
      <c r="AP18" s="25">
        <v>43.1</v>
      </c>
      <c r="AQ18" s="25">
        <v>40.4</v>
      </c>
      <c r="AR18" s="25">
        <v>41.5</v>
      </c>
      <c r="AS18" s="25">
        <v>35.9</v>
      </c>
      <c r="AT18" s="25">
        <v>39.4</v>
      </c>
      <c r="AU18" s="25">
        <v>38</v>
      </c>
      <c r="AV18" s="25">
        <v>38.5</v>
      </c>
      <c r="AW18" s="31"/>
      <c r="BC18" s="33">
        <v>6</v>
      </c>
    </row>
    <row r="19" spans="1:55" ht="15.75">
      <c r="A19" s="26" t="s">
        <v>53</v>
      </c>
      <c r="B19" s="25">
        <v>38.799999999999997</v>
      </c>
      <c r="C19" s="25">
        <v>1.7110000000000001</v>
      </c>
      <c r="D19" s="25">
        <v>3.669</v>
      </c>
      <c r="E19" s="25">
        <v>11.166</v>
      </c>
      <c r="F19" s="25">
        <v>0.64400000000000002</v>
      </c>
      <c r="G19" s="25">
        <v>38.799999999999997</v>
      </c>
      <c r="H19" s="25">
        <v>0</v>
      </c>
      <c r="I19" s="25">
        <v>2.2829999999999999</v>
      </c>
      <c r="J19" s="25">
        <v>4.1550000000000002</v>
      </c>
      <c r="K19" s="25">
        <v>1.9079999999999999</v>
      </c>
      <c r="L19" s="25">
        <v>4.5</v>
      </c>
      <c r="M19" s="25">
        <v>10.6</v>
      </c>
      <c r="N19" s="25">
        <v>10.670999999999999</v>
      </c>
      <c r="O19" s="25">
        <v>2</v>
      </c>
      <c r="P19" s="25">
        <v>6.3</v>
      </c>
      <c r="Q19" s="25">
        <v>10.7</v>
      </c>
      <c r="R19" s="25">
        <v>10.8</v>
      </c>
      <c r="S19" s="25">
        <v>12.4</v>
      </c>
      <c r="T19" s="25">
        <v>27.556000000000001</v>
      </c>
      <c r="U19" s="25">
        <v>51.281999999999996</v>
      </c>
      <c r="V19" s="25">
        <v>9.6</v>
      </c>
      <c r="W19" s="25">
        <v>5.5659999999999998</v>
      </c>
      <c r="X19" s="25">
        <v>47.889000000000003</v>
      </c>
      <c r="Y19" s="25">
        <v>9.4209999999999994</v>
      </c>
      <c r="Z19" s="25">
        <v>11.555</v>
      </c>
      <c r="AA19" s="25">
        <v>11.151</v>
      </c>
      <c r="AB19" s="25">
        <v>6.335</v>
      </c>
      <c r="AC19" s="25">
        <v>27.327000000000002</v>
      </c>
      <c r="AD19" s="25">
        <v>7.2</v>
      </c>
      <c r="AE19" s="25">
        <v>0.996</v>
      </c>
      <c r="AF19" s="25">
        <v>9.3290000000000006</v>
      </c>
      <c r="AG19" s="25">
        <v>2.5830000000000002</v>
      </c>
      <c r="AH19" s="25">
        <v>5.0860000000000003</v>
      </c>
      <c r="AI19" s="25">
        <v>10.502000000000001</v>
      </c>
      <c r="AJ19" s="25">
        <v>5.1280000000000001</v>
      </c>
      <c r="AK19" s="25">
        <v>11.494999999999999</v>
      </c>
      <c r="AL19" s="25">
        <v>10.753</v>
      </c>
      <c r="AM19" s="25">
        <v>13.013</v>
      </c>
      <c r="AN19" s="25">
        <v>12.676</v>
      </c>
      <c r="AO19" s="25">
        <v>4.2629999999999999</v>
      </c>
      <c r="AP19" s="25">
        <v>5.5019999999999998</v>
      </c>
      <c r="AQ19" s="25">
        <v>2.1320000000000001</v>
      </c>
      <c r="AR19" s="25">
        <v>0.88300000000000001</v>
      </c>
      <c r="AS19" s="25">
        <v>3.24</v>
      </c>
      <c r="AT19" s="25">
        <v>2.0219999999999998</v>
      </c>
      <c r="AU19" s="25">
        <v>0.9</v>
      </c>
      <c r="AV19" s="25">
        <v>3.6190000000000002</v>
      </c>
      <c r="AW19" s="31"/>
      <c r="BC19" s="33">
        <v>7</v>
      </c>
    </row>
    <row r="20" spans="1:55" ht="15.75">
      <c r="A20" s="26" t="s">
        <v>93</v>
      </c>
      <c r="B20" s="25">
        <v>42.4</v>
      </c>
      <c r="C20" s="25">
        <v>2.7189999999999999</v>
      </c>
      <c r="D20" s="25">
        <v>1.3580000000000001</v>
      </c>
      <c r="E20" s="25">
        <v>12.121</v>
      </c>
      <c r="F20" s="25">
        <v>1.9359999999999999</v>
      </c>
      <c r="G20" s="25">
        <v>42.4</v>
      </c>
      <c r="H20" s="25">
        <v>2.3199999999999998</v>
      </c>
      <c r="I20" s="25">
        <v>0</v>
      </c>
      <c r="J20" s="25">
        <v>5.1340000000000003</v>
      </c>
      <c r="K20" s="25">
        <v>4.7359999999999998</v>
      </c>
      <c r="L20" s="25">
        <v>6.3529999999999998</v>
      </c>
      <c r="M20" s="25">
        <v>7.7</v>
      </c>
      <c r="N20" s="25">
        <v>11.625999999999999</v>
      </c>
      <c r="O20" s="25">
        <v>3.1</v>
      </c>
      <c r="P20" s="25">
        <v>7</v>
      </c>
      <c r="Q20" s="25">
        <v>10</v>
      </c>
      <c r="R20" s="25">
        <v>7.8</v>
      </c>
      <c r="S20" s="25">
        <v>13</v>
      </c>
      <c r="T20" s="25">
        <v>28.510999999999999</v>
      </c>
      <c r="U20" s="25">
        <v>52.237000000000002</v>
      </c>
      <c r="V20" s="25">
        <v>5.9</v>
      </c>
      <c r="W20" s="25">
        <v>6.5209999999999999</v>
      </c>
      <c r="X20" s="25">
        <v>51.59</v>
      </c>
      <c r="Y20" s="25">
        <v>7.109</v>
      </c>
      <c r="Z20" s="25">
        <v>12.510999999999999</v>
      </c>
      <c r="AA20" s="25">
        <v>12.106</v>
      </c>
      <c r="AB20" s="25">
        <v>10.036</v>
      </c>
      <c r="AC20" s="25">
        <v>31.027999999999999</v>
      </c>
      <c r="AD20" s="25">
        <v>7.8</v>
      </c>
      <c r="AE20" s="25">
        <v>2.8679999999999999</v>
      </c>
      <c r="AF20" s="25">
        <v>10.284000000000001</v>
      </c>
      <c r="AG20" s="25">
        <v>4.5860000000000003</v>
      </c>
      <c r="AH20" s="25">
        <v>6.0410000000000004</v>
      </c>
      <c r="AI20" s="25">
        <v>11.457000000000001</v>
      </c>
      <c r="AJ20" s="25">
        <v>6.1070000000000002</v>
      </c>
      <c r="AK20" s="25">
        <v>8.8879999999999999</v>
      </c>
      <c r="AL20" s="25">
        <v>11.708</v>
      </c>
      <c r="AM20" s="25">
        <v>10.186999999999999</v>
      </c>
      <c r="AN20" s="25">
        <v>13.632</v>
      </c>
      <c r="AO20" s="25">
        <v>5.242</v>
      </c>
      <c r="AP20" s="25">
        <v>6.4569999999999999</v>
      </c>
      <c r="AQ20" s="25">
        <v>3.14</v>
      </c>
      <c r="AR20" s="25">
        <v>1.714</v>
      </c>
      <c r="AS20" s="25">
        <v>5.5039999999999996</v>
      </c>
      <c r="AT20" s="25">
        <v>3.03</v>
      </c>
      <c r="AU20" s="25">
        <v>1.6</v>
      </c>
      <c r="AV20" s="25">
        <v>4.7869999999999999</v>
      </c>
      <c r="AW20" s="31"/>
      <c r="BC20" s="33">
        <v>8</v>
      </c>
    </row>
    <row r="21" spans="1:55" ht="15.75">
      <c r="A21" s="26" t="s">
        <v>55</v>
      </c>
      <c r="B21" s="25">
        <v>37</v>
      </c>
      <c r="C21" s="25">
        <v>5.44</v>
      </c>
      <c r="D21" s="25">
        <v>5.6689999999999996</v>
      </c>
      <c r="E21" s="25">
        <v>12.938000000000001</v>
      </c>
      <c r="F21" s="25">
        <v>3.9980000000000002</v>
      </c>
      <c r="G21" s="25">
        <v>37</v>
      </c>
      <c r="H21" s="25">
        <v>4.5350000000000001</v>
      </c>
      <c r="I21" s="25">
        <v>5.1210000000000004</v>
      </c>
      <c r="J21" s="25">
        <v>0</v>
      </c>
      <c r="K21" s="25">
        <v>2.6629999999999998</v>
      </c>
      <c r="L21" s="25">
        <v>2.7749999999999999</v>
      </c>
      <c r="M21" s="25">
        <v>12.8</v>
      </c>
      <c r="N21" s="25">
        <v>9.7360000000000007</v>
      </c>
      <c r="O21" s="25">
        <v>5.3</v>
      </c>
      <c r="P21" s="25">
        <v>7</v>
      </c>
      <c r="Q21" s="25">
        <v>12.9</v>
      </c>
      <c r="R21" s="25">
        <v>12.9</v>
      </c>
      <c r="S21" s="25">
        <v>12.2</v>
      </c>
      <c r="T21" s="25">
        <v>23.594000000000001</v>
      </c>
      <c r="U21" s="25">
        <v>47.32</v>
      </c>
      <c r="V21" s="25">
        <v>10.1</v>
      </c>
      <c r="W21" s="25">
        <v>5.7130000000000001</v>
      </c>
      <c r="X21" s="25">
        <v>45.679000000000002</v>
      </c>
      <c r="Y21" s="25">
        <v>10.893000000000001</v>
      </c>
      <c r="Z21" s="25">
        <v>13.327999999999999</v>
      </c>
      <c r="AA21" s="25">
        <v>12.923</v>
      </c>
      <c r="AB21" s="25">
        <v>6.7350000000000003</v>
      </c>
      <c r="AC21" s="25">
        <v>25.117000000000001</v>
      </c>
      <c r="AD21" s="25">
        <v>4.5</v>
      </c>
      <c r="AE21" s="25">
        <v>2.851</v>
      </c>
      <c r="AF21" s="25">
        <v>8.1880000000000006</v>
      </c>
      <c r="AG21" s="25">
        <v>2.1859999999999999</v>
      </c>
      <c r="AH21" s="25">
        <v>4.532</v>
      </c>
      <c r="AI21" s="25">
        <v>12.273999999999999</v>
      </c>
      <c r="AJ21" s="25">
        <v>2.641</v>
      </c>
      <c r="AK21" s="25">
        <v>13.268000000000001</v>
      </c>
      <c r="AL21" s="25">
        <v>12.525</v>
      </c>
      <c r="AM21" s="25">
        <v>14.786</v>
      </c>
      <c r="AN21" s="25">
        <v>14.449</v>
      </c>
      <c r="AO21" s="25">
        <v>1.994</v>
      </c>
      <c r="AP21" s="25">
        <v>6.1909999999999998</v>
      </c>
      <c r="AQ21" s="25">
        <v>5.8609999999999998</v>
      </c>
      <c r="AR21" s="25">
        <v>3.8879999999999999</v>
      </c>
      <c r="AS21" s="25">
        <v>3.0089999999999999</v>
      </c>
      <c r="AT21" s="25">
        <v>5.7510000000000003</v>
      </c>
      <c r="AU21" s="25">
        <v>4.4000000000000004</v>
      </c>
      <c r="AV21" s="25">
        <v>5.0650000000000004</v>
      </c>
      <c r="AW21" s="31"/>
      <c r="BC21" s="33">
        <v>9</v>
      </c>
    </row>
    <row r="22" spans="1:55" ht="15.75">
      <c r="A22" s="26" t="s">
        <v>56</v>
      </c>
      <c r="B22" s="25">
        <v>37.799999999999997</v>
      </c>
      <c r="C22" s="25">
        <v>2.5569999999999999</v>
      </c>
      <c r="D22" s="25">
        <v>5.2850000000000001</v>
      </c>
      <c r="E22" s="25">
        <v>12.581</v>
      </c>
      <c r="F22" s="25">
        <v>2.488</v>
      </c>
      <c r="G22" s="25">
        <v>37.799999999999997</v>
      </c>
      <c r="H22" s="25">
        <v>1.8759999999999999</v>
      </c>
      <c r="I22" s="25">
        <v>4.7370000000000001</v>
      </c>
      <c r="J22" s="25">
        <v>2.64</v>
      </c>
      <c r="K22" s="25">
        <v>0</v>
      </c>
      <c r="L22" s="25">
        <v>3.1819999999999999</v>
      </c>
      <c r="M22" s="25">
        <v>12.1</v>
      </c>
      <c r="N22" s="25">
        <v>9.3789999999999996</v>
      </c>
      <c r="O22" s="25">
        <v>2.6</v>
      </c>
      <c r="P22" s="25">
        <v>6.6</v>
      </c>
      <c r="Q22" s="25">
        <v>12</v>
      </c>
      <c r="R22" s="25">
        <v>12.2</v>
      </c>
      <c r="S22" s="25">
        <v>11.6</v>
      </c>
      <c r="T22" s="25">
        <v>23.236999999999998</v>
      </c>
      <c r="U22" s="25">
        <v>46.963000000000001</v>
      </c>
      <c r="V22" s="25">
        <v>9.6</v>
      </c>
      <c r="W22" s="25">
        <v>5.3559999999999999</v>
      </c>
      <c r="X22" s="25">
        <v>46.572000000000003</v>
      </c>
      <c r="Y22" s="25">
        <v>10.536</v>
      </c>
      <c r="Z22" s="25">
        <v>12.971</v>
      </c>
      <c r="AA22" s="25">
        <v>12.566000000000001</v>
      </c>
      <c r="AB22" s="25">
        <v>5.0179999999999998</v>
      </c>
      <c r="AC22" s="25">
        <v>26.01</v>
      </c>
      <c r="AD22" s="25">
        <v>7.4</v>
      </c>
      <c r="AE22" s="25">
        <v>1.627</v>
      </c>
      <c r="AF22" s="25">
        <v>7.8310000000000004</v>
      </c>
      <c r="AG22" s="25">
        <v>1.3069999999999999</v>
      </c>
      <c r="AH22" s="25">
        <v>4.1749999999999998</v>
      </c>
      <c r="AI22" s="25">
        <v>11.917</v>
      </c>
      <c r="AJ22" s="25">
        <v>3.613</v>
      </c>
      <c r="AK22" s="25">
        <v>12.911</v>
      </c>
      <c r="AL22" s="25">
        <v>12.167999999999999</v>
      </c>
      <c r="AM22" s="25">
        <v>14.429</v>
      </c>
      <c r="AN22" s="25">
        <v>14.092000000000001</v>
      </c>
      <c r="AO22" s="25">
        <v>2.415</v>
      </c>
      <c r="AP22" s="25">
        <v>5.8330000000000002</v>
      </c>
      <c r="AQ22" s="25">
        <v>3.9710000000000001</v>
      </c>
      <c r="AR22" s="25">
        <v>3.504</v>
      </c>
      <c r="AS22" s="25">
        <v>1.9630000000000001</v>
      </c>
      <c r="AT22" s="25">
        <v>2.93</v>
      </c>
      <c r="AU22" s="25">
        <v>2.9</v>
      </c>
      <c r="AV22" s="25">
        <v>2.4020000000000001</v>
      </c>
      <c r="AW22" s="31"/>
      <c r="BC22" s="33">
        <v>10</v>
      </c>
    </row>
    <row r="23" spans="1:55" ht="15.75">
      <c r="A23" s="26" t="s">
        <v>94</v>
      </c>
      <c r="B23" s="25">
        <v>34.700000000000003</v>
      </c>
      <c r="C23" s="25">
        <v>6.8550000000000004</v>
      </c>
      <c r="D23" s="25">
        <v>6.8</v>
      </c>
      <c r="E23" s="25">
        <v>14.069000000000001</v>
      </c>
      <c r="F23" s="25">
        <v>5.1289999999999996</v>
      </c>
      <c r="G23" s="25">
        <v>34.700000000000003</v>
      </c>
      <c r="H23" s="25">
        <v>5.6660000000000004</v>
      </c>
      <c r="I23" s="25">
        <v>6.2519999999999998</v>
      </c>
      <c r="J23" s="25">
        <v>2.778</v>
      </c>
      <c r="K23" s="25">
        <v>3.1970000000000001</v>
      </c>
      <c r="L23" s="25">
        <v>0</v>
      </c>
      <c r="M23" s="25">
        <v>13.1</v>
      </c>
      <c r="N23" s="25">
        <v>10.867000000000001</v>
      </c>
      <c r="O23" s="25">
        <v>5.0999999999999996</v>
      </c>
      <c r="P23" s="25">
        <v>7.4</v>
      </c>
      <c r="Q23" s="25">
        <v>13.3</v>
      </c>
      <c r="R23" s="25">
        <v>13.2</v>
      </c>
      <c r="S23" s="25">
        <v>12.5</v>
      </c>
      <c r="T23" s="25">
        <v>24.556000000000001</v>
      </c>
      <c r="U23" s="25">
        <v>48.281999999999996</v>
      </c>
      <c r="V23" s="25">
        <v>10.4</v>
      </c>
      <c r="W23" s="25">
        <v>6.8440000000000003</v>
      </c>
      <c r="X23" s="25">
        <v>43.85</v>
      </c>
      <c r="Y23" s="25">
        <v>12.023999999999999</v>
      </c>
      <c r="Z23" s="25">
        <v>14.459</v>
      </c>
      <c r="AA23" s="25">
        <v>14.054</v>
      </c>
      <c r="AB23" s="25">
        <v>4.9059999999999997</v>
      </c>
      <c r="AC23" s="25">
        <v>23.288</v>
      </c>
      <c r="AD23" s="25">
        <v>8.3000000000000007</v>
      </c>
      <c r="AE23" s="25">
        <v>3.9820000000000002</v>
      </c>
      <c r="AF23" s="25">
        <v>9.3190000000000008</v>
      </c>
      <c r="AG23" s="25">
        <v>2.4009999999999998</v>
      </c>
      <c r="AH23" s="25">
        <v>5.6630000000000003</v>
      </c>
      <c r="AI23" s="25">
        <v>13.404999999999999</v>
      </c>
      <c r="AJ23" s="25">
        <v>0.81200000000000006</v>
      </c>
      <c r="AK23" s="25">
        <v>14.398999999999999</v>
      </c>
      <c r="AL23" s="25">
        <v>13.656000000000001</v>
      </c>
      <c r="AM23" s="25">
        <v>15.917</v>
      </c>
      <c r="AN23" s="25">
        <v>15.58</v>
      </c>
      <c r="AO23" s="25">
        <v>0.94599999999999995</v>
      </c>
      <c r="AP23" s="25">
        <v>7.3220000000000001</v>
      </c>
      <c r="AQ23" s="25">
        <v>6.9989999999999997</v>
      </c>
      <c r="AR23" s="25">
        <v>5.0190000000000001</v>
      </c>
      <c r="AS23" s="25">
        <v>1.5640000000000001</v>
      </c>
      <c r="AT23" s="25">
        <v>7.0149999999999997</v>
      </c>
      <c r="AU23" s="25">
        <v>4.7</v>
      </c>
      <c r="AV23" s="25">
        <v>5.43</v>
      </c>
      <c r="AW23" s="31"/>
      <c r="BC23" s="33">
        <v>11</v>
      </c>
    </row>
    <row r="24" spans="1:55" ht="15.75">
      <c r="A24" s="26" t="s">
        <v>58</v>
      </c>
      <c r="B24" s="25">
        <v>41.4</v>
      </c>
      <c r="C24" s="25">
        <v>11.6</v>
      </c>
      <c r="D24" s="25">
        <v>6.9</v>
      </c>
      <c r="E24" s="25">
        <v>3.4</v>
      </c>
      <c r="F24" s="25">
        <v>10.1</v>
      </c>
      <c r="G24" s="25">
        <v>41.4</v>
      </c>
      <c r="H24" s="25">
        <v>10.6</v>
      </c>
      <c r="I24" s="25">
        <v>7.7</v>
      </c>
      <c r="J24" s="25">
        <v>12.8</v>
      </c>
      <c r="K24" s="25">
        <v>12.1</v>
      </c>
      <c r="L24" s="25">
        <v>13.1</v>
      </c>
      <c r="M24" s="25">
        <v>0</v>
      </c>
      <c r="N24" s="25">
        <v>6.3</v>
      </c>
      <c r="O24" s="25">
        <v>11</v>
      </c>
      <c r="P24" s="25">
        <v>6.1</v>
      </c>
      <c r="Q24" s="25">
        <v>6.7</v>
      </c>
      <c r="R24" s="25">
        <v>2.1</v>
      </c>
      <c r="S24" s="25">
        <v>7.3</v>
      </c>
      <c r="T24" s="25">
        <v>24.9</v>
      </c>
      <c r="U24" s="25">
        <v>44.5</v>
      </c>
      <c r="V24" s="25">
        <v>2.6</v>
      </c>
      <c r="W24" s="25">
        <v>6.8</v>
      </c>
      <c r="X24" s="25">
        <v>43.6</v>
      </c>
      <c r="Y24" s="25">
        <v>2.9</v>
      </c>
      <c r="Z24" s="25">
        <v>5.8</v>
      </c>
      <c r="AA24" s="25">
        <v>4.8</v>
      </c>
      <c r="AB24" s="25">
        <v>15.6</v>
      </c>
      <c r="AC24" s="25">
        <v>15.8</v>
      </c>
      <c r="AD24" s="25">
        <v>5.7</v>
      </c>
      <c r="AE24" s="25">
        <v>10</v>
      </c>
      <c r="AF24" s="25">
        <v>4.7</v>
      </c>
      <c r="AG24" s="25">
        <v>11.2</v>
      </c>
      <c r="AH24" s="25">
        <v>8.3000000000000007</v>
      </c>
      <c r="AI24" s="25">
        <v>4</v>
      </c>
      <c r="AJ24" s="25">
        <v>12.7</v>
      </c>
      <c r="AK24" s="25">
        <v>2.9</v>
      </c>
      <c r="AL24" s="25">
        <v>4.4000000000000004</v>
      </c>
      <c r="AM24" s="25">
        <v>4</v>
      </c>
      <c r="AN24" s="25">
        <v>4</v>
      </c>
      <c r="AO24" s="25">
        <v>11.9</v>
      </c>
      <c r="AP24" s="25">
        <v>6.7</v>
      </c>
      <c r="AQ24" s="25">
        <v>10.3</v>
      </c>
      <c r="AR24" s="25">
        <v>9</v>
      </c>
      <c r="AS24" s="25">
        <v>12</v>
      </c>
      <c r="AT24" s="25">
        <v>11.8</v>
      </c>
      <c r="AU24" s="25">
        <v>9</v>
      </c>
      <c r="AV24" s="25">
        <v>11.2</v>
      </c>
      <c r="AW24" s="31"/>
      <c r="BC24" s="33">
        <v>12</v>
      </c>
    </row>
    <row r="25" spans="1:55" ht="15.75">
      <c r="A25" s="26" t="s">
        <v>59</v>
      </c>
      <c r="B25" s="25">
        <v>36.299999999999997</v>
      </c>
      <c r="C25" s="25">
        <v>8</v>
      </c>
      <c r="D25" s="25">
        <v>11.215999999999999</v>
      </c>
      <c r="E25" s="25">
        <v>7.7560000000000002</v>
      </c>
      <c r="F25" s="25">
        <v>10.220000000000001</v>
      </c>
      <c r="G25" s="25">
        <v>36.299999999999997</v>
      </c>
      <c r="H25" s="25">
        <v>10.670999999999999</v>
      </c>
      <c r="I25" s="25">
        <v>11.625999999999999</v>
      </c>
      <c r="J25" s="25">
        <v>9.7360000000000007</v>
      </c>
      <c r="K25" s="25">
        <v>9.3789999999999996</v>
      </c>
      <c r="L25" s="25">
        <v>10.867000000000001</v>
      </c>
      <c r="M25" s="25">
        <v>6.3</v>
      </c>
      <c r="N25" s="25">
        <v>0</v>
      </c>
      <c r="O25" s="25">
        <v>8.4</v>
      </c>
      <c r="P25" s="25">
        <v>0.8</v>
      </c>
      <c r="Q25" s="25">
        <v>6.45</v>
      </c>
      <c r="R25" s="25">
        <v>6.5</v>
      </c>
      <c r="S25" s="25">
        <v>5.9</v>
      </c>
      <c r="T25" s="25">
        <v>17.942</v>
      </c>
      <c r="U25" s="25">
        <v>39.866999999999997</v>
      </c>
      <c r="V25" s="25">
        <v>10.8</v>
      </c>
      <c r="W25" s="25">
        <v>6.6280000000000001</v>
      </c>
      <c r="X25" s="25">
        <v>44.595999999999997</v>
      </c>
      <c r="Y25" s="25">
        <v>11.298999999999999</v>
      </c>
      <c r="Z25" s="25">
        <v>6.3049999999999997</v>
      </c>
      <c r="AA25" s="25">
        <v>6.0949999999999998</v>
      </c>
      <c r="AB25" s="25">
        <v>12.388</v>
      </c>
      <c r="AC25" s="25">
        <v>11.91</v>
      </c>
      <c r="AD25" s="25">
        <v>1.6</v>
      </c>
      <c r="AE25" s="25">
        <v>9.5329999999999995</v>
      </c>
      <c r="AF25" s="25">
        <v>3.6120000000000001</v>
      </c>
      <c r="AG25" s="25">
        <v>9.4380000000000006</v>
      </c>
      <c r="AH25" s="25">
        <v>2.9</v>
      </c>
      <c r="AI25" s="25">
        <v>7.0380000000000003</v>
      </c>
      <c r="AJ25" s="25">
        <v>10.701000000000001</v>
      </c>
      <c r="AK25" s="25">
        <v>9.0890000000000004</v>
      </c>
      <c r="AL25" s="25">
        <v>7.0890000000000004</v>
      </c>
      <c r="AM25" s="25">
        <v>7.9080000000000004</v>
      </c>
      <c r="AN25" s="25">
        <v>7.843</v>
      </c>
      <c r="AO25" s="25">
        <v>10.055</v>
      </c>
      <c r="AP25" s="25">
        <v>8.9079999999999995</v>
      </c>
      <c r="AQ25" s="25">
        <v>12.061999999999999</v>
      </c>
      <c r="AR25" s="25">
        <v>10.619</v>
      </c>
      <c r="AS25" s="25">
        <v>10.095000000000001</v>
      </c>
      <c r="AT25" s="25">
        <v>11.923999999999999</v>
      </c>
      <c r="AU25" s="25">
        <v>7.2</v>
      </c>
      <c r="AV25" s="25">
        <v>12.991</v>
      </c>
      <c r="AW25" s="31"/>
      <c r="BC25" s="33">
        <v>13</v>
      </c>
    </row>
    <row r="26" spans="1:55" ht="15.75">
      <c r="A26" s="26" t="s">
        <v>60</v>
      </c>
      <c r="B26" s="25">
        <v>39.799999999999997</v>
      </c>
      <c r="C26" s="25">
        <v>0.4</v>
      </c>
      <c r="D26" s="25">
        <v>3.7</v>
      </c>
      <c r="E26" s="25">
        <v>12.5</v>
      </c>
      <c r="F26" s="25">
        <v>2.4</v>
      </c>
      <c r="G26" s="25">
        <v>39.799999999999997</v>
      </c>
      <c r="H26" s="25">
        <v>2</v>
      </c>
      <c r="I26" s="25">
        <v>3.1</v>
      </c>
      <c r="J26" s="25">
        <v>5.3</v>
      </c>
      <c r="K26" s="25">
        <v>2.6</v>
      </c>
      <c r="L26" s="25">
        <v>5.0999999999999996</v>
      </c>
      <c r="M26" s="25">
        <v>11.9</v>
      </c>
      <c r="N26" s="25">
        <v>8.4</v>
      </c>
      <c r="O26" s="25">
        <v>0</v>
      </c>
      <c r="P26" s="25">
        <v>7.7</v>
      </c>
      <c r="Q26" s="25">
        <v>12.2</v>
      </c>
      <c r="R26" s="25">
        <v>12.1</v>
      </c>
      <c r="S26" s="25">
        <v>13.8</v>
      </c>
      <c r="T26" s="25">
        <v>32.5</v>
      </c>
      <c r="U26" s="25">
        <v>52.1</v>
      </c>
      <c r="V26" s="25">
        <v>10.8</v>
      </c>
      <c r="W26" s="25">
        <v>6.7</v>
      </c>
      <c r="X26" s="25">
        <v>42.1</v>
      </c>
      <c r="Y26" s="25">
        <v>9.9</v>
      </c>
      <c r="Z26" s="25">
        <v>12.9</v>
      </c>
      <c r="AA26" s="25">
        <v>12.6</v>
      </c>
      <c r="AB26" s="25">
        <v>5.9</v>
      </c>
      <c r="AC26" s="25">
        <v>14.2</v>
      </c>
      <c r="AD26" s="25">
        <v>8.6</v>
      </c>
      <c r="AE26" s="25">
        <v>2.4</v>
      </c>
      <c r="AF26" s="25">
        <v>10.1</v>
      </c>
      <c r="AG26" s="25">
        <v>3.6</v>
      </c>
      <c r="AH26" s="25">
        <v>6.5</v>
      </c>
      <c r="AI26" s="25">
        <v>11.8</v>
      </c>
      <c r="AJ26" s="25">
        <v>6.1</v>
      </c>
      <c r="AK26" s="25">
        <v>12.9</v>
      </c>
      <c r="AL26" s="25">
        <v>12.8</v>
      </c>
      <c r="AM26" s="25">
        <v>13.9</v>
      </c>
      <c r="AN26" s="25">
        <v>14</v>
      </c>
      <c r="AO26" s="25">
        <v>4.5</v>
      </c>
      <c r="AP26" s="25">
        <v>3.8</v>
      </c>
      <c r="AQ26" s="25">
        <v>1.2</v>
      </c>
      <c r="AR26" s="25">
        <v>2.2000000000000002</v>
      </c>
      <c r="AS26" s="25">
        <v>3.9</v>
      </c>
      <c r="AT26" s="25">
        <v>0.8</v>
      </c>
      <c r="AU26" s="25">
        <v>2.2000000000000002</v>
      </c>
      <c r="AV26" s="25">
        <v>1.4</v>
      </c>
      <c r="AW26" s="31"/>
      <c r="BC26" s="33">
        <v>14</v>
      </c>
    </row>
    <row r="27" spans="1:55" ht="15.75">
      <c r="A27" s="26" t="s">
        <v>61</v>
      </c>
      <c r="B27" s="25">
        <v>36.799999999999997</v>
      </c>
      <c r="C27" s="25">
        <v>7.4</v>
      </c>
      <c r="D27" s="25">
        <v>6.9</v>
      </c>
      <c r="E27" s="25">
        <v>6.2</v>
      </c>
      <c r="F27" s="25">
        <v>5.9</v>
      </c>
      <c r="G27" s="25">
        <v>36.799999999999997</v>
      </c>
      <c r="H27" s="25">
        <v>6.3</v>
      </c>
      <c r="I27" s="25">
        <v>7</v>
      </c>
      <c r="J27" s="25">
        <v>7</v>
      </c>
      <c r="K27" s="25">
        <v>6.6</v>
      </c>
      <c r="L27" s="25">
        <v>7.4</v>
      </c>
      <c r="M27" s="25">
        <v>6.1</v>
      </c>
      <c r="N27" s="25">
        <v>0.8</v>
      </c>
      <c r="O27" s="25">
        <v>7.7</v>
      </c>
      <c r="P27" s="25">
        <v>0</v>
      </c>
      <c r="Q27" s="25">
        <v>5.9</v>
      </c>
      <c r="R27" s="25">
        <v>6.3</v>
      </c>
      <c r="S27" s="25">
        <v>6.6</v>
      </c>
      <c r="T27" s="25">
        <v>24.5</v>
      </c>
      <c r="U27" s="25">
        <v>44.1</v>
      </c>
      <c r="V27" s="25">
        <v>4.5999999999999996</v>
      </c>
      <c r="W27" s="25">
        <v>1.3</v>
      </c>
      <c r="X27" s="25">
        <v>39</v>
      </c>
      <c r="Y27" s="25">
        <v>5.4</v>
      </c>
      <c r="Z27" s="25">
        <v>6.6</v>
      </c>
      <c r="AA27" s="25">
        <v>6.3</v>
      </c>
      <c r="AB27" s="25">
        <v>10</v>
      </c>
      <c r="AC27" s="25">
        <v>11.2</v>
      </c>
      <c r="AD27" s="25">
        <v>0.9</v>
      </c>
      <c r="AE27" s="25">
        <v>6.5</v>
      </c>
      <c r="AF27" s="25">
        <v>1.8</v>
      </c>
      <c r="AG27" s="25">
        <v>6.5</v>
      </c>
      <c r="AH27" s="25">
        <v>2.2999999999999998</v>
      </c>
      <c r="AI27" s="25">
        <v>5.5</v>
      </c>
      <c r="AJ27" s="25">
        <v>7.8</v>
      </c>
      <c r="AK27" s="25">
        <v>6.6</v>
      </c>
      <c r="AL27" s="25">
        <v>6.5</v>
      </c>
      <c r="AM27" s="25">
        <v>7.6</v>
      </c>
      <c r="AN27" s="25">
        <v>7.7</v>
      </c>
      <c r="AO27" s="25">
        <v>7.2</v>
      </c>
      <c r="AP27" s="25">
        <v>7</v>
      </c>
      <c r="AQ27" s="25">
        <v>7.8</v>
      </c>
      <c r="AR27" s="25">
        <v>6.5</v>
      </c>
      <c r="AS27" s="25">
        <v>7.2</v>
      </c>
      <c r="AT27" s="25">
        <v>7.6</v>
      </c>
      <c r="AU27" s="25">
        <v>6.4</v>
      </c>
      <c r="AV27" s="25">
        <v>7</v>
      </c>
      <c r="AW27" s="31"/>
      <c r="BC27" s="33">
        <v>15</v>
      </c>
    </row>
    <row r="28" spans="1:55" ht="15.75">
      <c r="A28" s="26" t="s">
        <v>62</v>
      </c>
      <c r="B28" s="25">
        <v>41.6</v>
      </c>
      <c r="C28" s="25">
        <v>11.7</v>
      </c>
      <c r="D28" s="25">
        <v>9.3000000000000007</v>
      </c>
      <c r="E28" s="25">
        <v>2.4</v>
      </c>
      <c r="F28" s="25">
        <v>10.199999999999999</v>
      </c>
      <c r="G28" s="25">
        <v>41.6</v>
      </c>
      <c r="H28" s="25">
        <v>10.7</v>
      </c>
      <c r="I28" s="25">
        <v>10</v>
      </c>
      <c r="J28" s="25">
        <v>12.9</v>
      </c>
      <c r="K28" s="25">
        <v>12</v>
      </c>
      <c r="L28" s="25">
        <v>13.3</v>
      </c>
      <c r="M28" s="25">
        <v>6.7</v>
      </c>
      <c r="N28" s="25">
        <v>6.45</v>
      </c>
      <c r="O28" s="25">
        <v>12.2</v>
      </c>
      <c r="P28" s="25">
        <v>5.9</v>
      </c>
      <c r="Q28" s="25">
        <v>0</v>
      </c>
      <c r="R28" s="25">
        <v>4.0999999999999996</v>
      </c>
      <c r="S28" s="25">
        <v>2.2000000000000002</v>
      </c>
      <c r="T28" s="25">
        <v>21.6</v>
      </c>
      <c r="U28" s="25">
        <v>42</v>
      </c>
      <c r="V28" s="25">
        <v>5.7</v>
      </c>
      <c r="W28" s="25">
        <v>8.6999999999999993</v>
      </c>
      <c r="X28" s="25">
        <v>43.8</v>
      </c>
      <c r="Y28" s="25">
        <v>6.4</v>
      </c>
      <c r="Z28" s="25">
        <v>1.8</v>
      </c>
      <c r="AA28" s="25">
        <v>1.5</v>
      </c>
      <c r="AB28" s="25">
        <v>18.399999999999999</v>
      </c>
      <c r="AC28" s="25">
        <v>15.8</v>
      </c>
      <c r="AD28" s="25">
        <v>5.5</v>
      </c>
      <c r="AE28" s="25">
        <v>11.1</v>
      </c>
      <c r="AF28" s="25">
        <v>5.0999999999999996</v>
      </c>
      <c r="AG28" s="25">
        <v>12.4</v>
      </c>
      <c r="AH28" s="25">
        <v>8.5</v>
      </c>
      <c r="AI28" s="25">
        <v>2.2999999999999998</v>
      </c>
      <c r="AJ28" s="25">
        <v>13.6</v>
      </c>
      <c r="AK28" s="25">
        <v>3.6</v>
      </c>
      <c r="AL28" s="25">
        <v>1.8</v>
      </c>
      <c r="AM28" s="25">
        <v>3.2</v>
      </c>
      <c r="AN28" s="25">
        <v>2.8</v>
      </c>
      <c r="AO28" s="25">
        <v>13</v>
      </c>
      <c r="AP28" s="25">
        <v>11.1</v>
      </c>
      <c r="AQ28" s="25">
        <v>12.2</v>
      </c>
      <c r="AR28" s="25">
        <v>10.8</v>
      </c>
      <c r="AS28" s="25">
        <v>13.1</v>
      </c>
      <c r="AT28" s="25">
        <v>12</v>
      </c>
      <c r="AU28" s="25">
        <v>10.9</v>
      </c>
      <c r="AV28" s="25">
        <v>11.4</v>
      </c>
      <c r="AW28" s="31"/>
      <c r="BC28" s="33">
        <v>16</v>
      </c>
    </row>
    <row r="29" spans="1:55" ht="15.75">
      <c r="A29" s="26" t="s">
        <v>63</v>
      </c>
      <c r="B29" s="25">
        <v>41.6</v>
      </c>
      <c r="C29" s="25">
        <v>11.7</v>
      </c>
      <c r="D29" s="25">
        <v>7</v>
      </c>
      <c r="E29" s="25">
        <v>1.8</v>
      </c>
      <c r="F29" s="25">
        <v>10.3</v>
      </c>
      <c r="G29" s="25">
        <v>41.6</v>
      </c>
      <c r="H29" s="25">
        <v>10.8</v>
      </c>
      <c r="I29" s="25">
        <v>7.8</v>
      </c>
      <c r="J29" s="25">
        <v>12.9</v>
      </c>
      <c r="K29" s="25">
        <v>12.2</v>
      </c>
      <c r="L29" s="25">
        <v>13.2</v>
      </c>
      <c r="M29" s="25">
        <v>2.1</v>
      </c>
      <c r="N29" s="25">
        <v>6.5</v>
      </c>
      <c r="O29" s="25">
        <v>12.1</v>
      </c>
      <c r="P29" s="25">
        <v>6.3</v>
      </c>
      <c r="Q29" s="25">
        <v>4.0999999999999996</v>
      </c>
      <c r="R29" s="25">
        <v>0</v>
      </c>
      <c r="S29" s="25">
        <v>5.7</v>
      </c>
      <c r="T29" s="25">
        <v>23.3</v>
      </c>
      <c r="U29" s="25">
        <v>42.9</v>
      </c>
      <c r="V29" s="25">
        <v>2.8</v>
      </c>
      <c r="W29" s="25">
        <v>7</v>
      </c>
      <c r="X29" s="25">
        <v>43.8</v>
      </c>
      <c r="Y29" s="25">
        <v>3</v>
      </c>
      <c r="Z29" s="25">
        <v>4.2</v>
      </c>
      <c r="AA29" s="25">
        <v>3.2</v>
      </c>
      <c r="AB29" s="25">
        <v>15.8</v>
      </c>
      <c r="AC29" s="25">
        <v>16</v>
      </c>
      <c r="AD29" s="25">
        <v>5.9</v>
      </c>
      <c r="AE29" s="25">
        <v>10.1</v>
      </c>
      <c r="AF29" s="25">
        <v>4.9000000000000004</v>
      </c>
      <c r="AG29" s="25">
        <v>11.4</v>
      </c>
      <c r="AH29" s="25">
        <v>8.4</v>
      </c>
      <c r="AI29" s="25">
        <v>2.4</v>
      </c>
      <c r="AJ29" s="25">
        <v>12.9</v>
      </c>
      <c r="AK29" s="25">
        <v>1.3</v>
      </c>
      <c r="AL29" s="25">
        <v>2.8</v>
      </c>
      <c r="AM29" s="25">
        <v>2.5</v>
      </c>
      <c r="AN29" s="25">
        <v>2.4</v>
      </c>
      <c r="AO29" s="25">
        <v>12.1</v>
      </c>
      <c r="AP29" s="25">
        <v>6.9</v>
      </c>
      <c r="AQ29" s="25">
        <v>10.4</v>
      </c>
      <c r="AR29" s="25">
        <v>9.1999999999999993</v>
      </c>
      <c r="AS29" s="25">
        <v>12.1</v>
      </c>
      <c r="AT29" s="25">
        <v>12</v>
      </c>
      <c r="AU29" s="25">
        <v>10.9</v>
      </c>
      <c r="AV29" s="25">
        <v>9.8000000000000007</v>
      </c>
      <c r="AW29" s="31"/>
      <c r="BC29" s="33">
        <v>17</v>
      </c>
    </row>
    <row r="30" spans="1:55" ht="15.75">
      <c r="A30" s="26" t="s">
        <v>64</v>
      </c>
      <c r="B30" s="25">
        <v>39.9</v>
      </c>
      <c r="C30" s="25">
        <v>13.4</v>
      </c>
      <c r="D30" s="25">
        <v>11</v>
      </c>
      <c r="E30" s="25">
        <v>3.8</v>
      </c>
      <c r="F30" s="25">
        <v>11.9</v>
      </c>
      <c r="G30" s="25">
        <v>39.9</v>
      </c>
      <c r="H30" s="25">
        <v>12.4</v>
      </c>
      <c r="I30" s="25">
        <v>13</v>
      </c>
      <c r="J30" s="25">
        <v>12.2</v>
      </c>
      <c r="K30" s="25">
        <v>11.6</v>
      </c>
      <c r="L30" s="25">
        <v>12.5</v>
      </c>
      <c r="M30" s="25">
        <v>7.3</v>
      </c>
      <c r="N30" s="25">
        <v>5.9</v>
      </c>
      <c r="O30" s="25">
        <v>13.8</v>
      </c>
      <c r="P30" s="25">
        <v>6.6</v>
      </c>
      <c r="Q30" s="25">
        <v>2.2000000000000002</v>
      </c>
      <c r="R30" s="25">
        <v>5.7</v>
      </c>
      <c r="S30" s="25">
        <v>0</v>
      </c>
      <c r="T30" s="25">
        <v>20.9</v>
      </c>
      <c r="U30" s="25">
        <v>40.5</v>
      </c>
      <c r="V30" s="25">
        <v>7.3</v>
      </c>
      <c r="W30" s="25">
        <v>7.8</v>
      </c>
      <c r="X30" s="25">
        <v>42.2</v>
      </c>
      <c r="Y30" s="25">
        <v>7.8</v>
      </c>
      <c r="Z30" s="25">
        <v>1.9</v>
      </c>
      <c r="AA30" s="25">
        <v>2.4</v>
      </c>
      <c r="AB30" s="25">
        <v>15</v>
      </c>
      <c r="AC30" s="25">
        <v>14.3</v>
      </c>
      <c r="AD30" s="25">
        <v>7.5</v>
      </c>
      <c r="AE30" s="25">
        <v>11.7</v>
      </c>
      <c r="AF30" s="25">
        <v>6.5</v>
      </c>
      <c r="AG30" s="25">
        <v>11.5</v>
      </c>
      <c r="AH30" s="25">
        <v>8.6999999999999993</v>
      </c>
      <c r="AI30" s="25">
        <v>3.3</v>
      </c>
      <c r="AJ30" s="25">
        <v>13</v>
      </c>
      <c r="AK30" s="25">
        <v>5.2</v>
      </c>
      <c r="AL30" s="25">
        <v>2.6</v>
      </c>
      <c r="AM30" s="25">
        <v>3.8</v>
      </c>
      <c r="AN30" s="25">
        <v>3.3</v>
      </c>
      <c r="AO30" s="25">
        <v>12.2</v>
      </c>
      <c r="AP30" s="25">
        <v>13</v>
      </c>
      <c r="AQ30" s="25">
        <v>13.8</v>
      </c>
      <c r="AR30" s="25">
        <v>12.5</v>
      </c>
      <c r="AS30" s="25">
        <v>12.2</v>
      </c>
      <c r="AT30" s="25">
        <v>13.6</v>
      </c>
      <c r="AU30" s="25">
        <v>12.5</v>
      </c>
      <c r="AV30" s="25">
        <v>13</v>
      </c>
      <c r="AW30" s="31"/>
      <c r="BC30" s="33">
        <v>18</v>
      </c>
    </row>
    <row r="31" spans="1:55" ht="15.75">
      <c r="A31" s="26" t="s">
        <v>65</v>
      </c>
      <c r="B31" s="25">
        <v>24.3</v>
      </c>
      <c r="C31" s="25">
        <v>30.33</v>
      </c>
      <c r="D31" s="25">
        <v>29.552</v>
      </c>
      <c r="E31" s="25">
        <v>20.983000000000001</v>
      </c>
      <c r="F31" s="25">
        <v>28.888000000000002</v>
      </c>
      <c r="G31" s="25">
        <v>24.3</v>
      </c>
      <c r="H31" s="25">
        <v>29.425000000000001</v>
      </c>
      <c r="I31" s="25">
        <v>27.55</v>
      </c>
      <c r="J31" s="25">
        <v>25.489000000000001</v>
      </c>
      <c r="K31" s="25">
        <v>25.091000000000001</v>
      </c>
      <c r="L31" s="25">
        <v>26.376000000000001</v>
      </c>
      <c r="M31" s="25">
        <v>24.9</v>
      </c>
      <c r="N31" s="25">
        <v>17.942</v>
      </c>
      <c r="O31" s="25">
        <v>32.5</v>
      </c>
      <c r="P31" s="25">
        <v>24.5</v>
      </c>
      <c r="Q31" s="25">
        <v>21.6</v>
      </c>
      <c r="R31" s="25">
        <v>23.3</v>
      </c>
      <c r="S31" s="25">
        <v>20.9</v>
      </c>
      <c r="T31" s="25">
        <v>0</v>
      </c>
      <c r="U31" s="25">
        <v>23.725999999999999</v>
      </c>
      <c r="V31" s="25">
        <v>26.1</v>
      </c>
      <c r="W31" s="25">
        <v>22.893999999999998</v>
      </c>
      <c r="X31" s="25">
        <v>30.141999999999999</v>
      </c>
      <c r="Y31" s="25">
        <v>24.646999999999998</v>
      </c>
      <c r="Z31" s="25">
        <v>18.667000000000002</v>
      </c>
      <c r="AA31" s="25">
        <v>19.327000000000002</v>
      </c>
      <c r="AB31" s="25">
        <v>27.018000000000001</v>
      </c>
      <c r="AC31" s="25">
        <v>38.881</v>
      </c>
      <c r="AD31" s="25">
        <v>25.4</v>
      </c>
      <c r="AE31" s="25">
        <v>25.28</v>
      </c>
      <c r="AF31" s="25">
        <v>19.731000000000002</v>
      </c>
      <c r="AG31" s="25">
        <v>24.940999999999999</v>
      </c>
      <c r="AH31" s="25">
        <v>22.643999999999998</v>
      </c>
      <c r="AI31" s="25">
        <v>20.318999999999999</v>
      </c>
      <c r="AJ31" s="25">
        <v>25.786000000000001</v>
      </c>
      <c r="AK31" s="25">
        <v>21.210999999999999</v>
      </c>
      <c r="AL31" s="25">
        <v>20.568999999999999</v>
      </c>
      <c r="AM31" s="25">
        <v>19.492999999999999</v>
      </c>
      <c r="AN31" s="25">
        <v>19.155999999999999</v>
      </c>
      <c r="AO31" s="25">
        <v>25.597000000000001</v>
      </c>
      <c r="AP31" s="25">
        <v>26.419</v>
      </c>
      <c r="AQ31" s="25">
        <v>30.751000000000001</v>
      </c>
      <c r="AR31" s="25">
        <v>29.501000000000001</v>
      </c>
      <c r="AS31" s="25">
        <v>25.859000000000002</v>
      </c>
      <c r="AT31" s="25">
        <v>30.640999999999998</v>
      </c>
      <c r="AU31" s="25">
        <v>31.2</v>
      </c>
      <c r="AV31" s="25">
        <v>27.494</v>
      </c>
      <c r="AW31" s="31"/>
      <c r="BC31" s="33">
        <v>19</v>
      </c>
    </row>
    <row r="32" spans="1:55" ht="15.75">
      <c r="A32" s="26" t="s">
        <v>66</v>
      </c>
      <c r="B32" s="25">
        <v>30</v>
      </c>
      <c r="C32" s="25">
        <v>52.255000000000003</v>
      </c>
      <c r="D32" s="25">
        <v>51.476999999999997</v>
      </c>
      <c r="E32" s="25">
        <v>42.908000000000001</v>
      </c>
      <c r="F32" s="25">
        <v>50.813000000000002</v>
      </c>
      <c r="G32" s="25">
        <v>30</v>
      </c>
      <c r="H32" s="25">
        <v>51.35</v>
      </c>
      <c r="I32" s="25">
        <v>49.475000000000001</v>
      </c>
      <c r="J32" s="25">
        <v>47.414000000000001</v>
      </c>
      <c r="K32" s="25">
        <v>47.015999999999998</v>
      </c>
      <c r="L32" s="25">
        <v>48.301000000000002</v>
      </c>
      <c r="M32" s="25">
        <v>44.5</v>
      </c>
      <c r="N32" s="25">
        <v>39.866999999999997</v>
      </c>
      <c r="O32" s="25">
        <v>52.1</v>
      </c>
      <c r="P32" s="25">
        <v>44.1</v>
      </c>
      <c r="Q32" s="25">
        <v>42</v>
      </c>
      <c r="R32" s="25">
        <v>42.9</v>
      </c>
      <c r="S32" s="25">
        <v>40.5</v>
      </c>
      <c r="T32" s="25">
        <v>23.806000000000001</v>
      </c>
      <c r="U32" s="25">
        <v>0</v>
      </c>
      <c r="V32" s="25">
        <v>45.7</v>
      </c>
      <c r="W32" s="25">
        <v>44.819000000000003</v>
      </c>
      <c r="X32" s="25">
        <v>33.201999999999998</v>
      </c>
      <c r="Y32" s="25">
        <v>46.572000000000003</v>
      </c>
      <c r="Z32" s="25">
        <v>40.591999999999999</v>
      </c>
      <c r="AA32" s="25">
        <v>41.252000000000002</v>
      </c>
      <c r="AB32" s="25">
        <v>48.942999999999998</v>
      </c>
      <c r="AC32" s="25">
        <v>60.805999999999997</v>
      </c>
      <c r="AD32" s="25">
        <v>45</v>
      </c>
      <c r="AE32" s="25">
        <v>47.204999999999998</v>
      </c>
      <c r="AF32" s="25">
        <v>41.656999999999996</v>
      </c>
      <c r="AG32" s="25">
        <v>46.866</v>
      </c>
      <c r="AH32" s="25">
        <v>44.569000000000003</v>
      </c>
      <c r="AI32" s="25">
        <v>42.244</v>
      </c>
      <c r="AJ32" s="25">
        <v>47.710999999999999</v>
      </c>
      <c r="AK32" s="25">
        <v>43.136000000000003</v>
      </c>
      <c r="AL32" s="25">
        <v>42.494</v>
      </c>
      <c r="AM32" s="25">
        <v>41.417999999999999</v>
      </c>
      <c r="AN32" s="25">
        <v>41.081000000000003</v>
      </c>
      <c r="AO32" s="25">
        <v>47.521999999999998</v>
      </c>
      <c r="AP32" s="25">
        <v>48.344000000000001</v>
      </c>
      <c r="AQ32" s="25">
        <v>52.676000000000002</v>
      </c>
      <c r="AR32" s="25">
        <v>51.426000000000002</v>
      </c>
      <c r="AS32" s="25">
        <v>47.783999999999999</v>
      </c>
      <c r="AT32" s="25">
        <v>52.566000000000003</v>
      </c>
      <c r="AU32" s="25">
        <v>50.9</v>
      </c>
      <c r="AV32" s="25">
        <v>49.418999999999997</v>
      </c>
      <c r="AW32" s="31"/>
      <c r="BC32" s="33">
        <v>20</v>
      </c>
    </row>
    <row r="33" spans="1:55" ht="15.75">
      <c r="A33" s="26" t="s">
        <v>67</v>
      </c>
      <c r="B33" s="25">
        <v>40.5</v>
      </c>
      <c r="C33" s="25">
        <v>10.9</v>
      </c>
      <c r="D33" s="25">
        <v>5.0999999999999996</v>
      </c>
      <c r="E33" s="25">
        <v>3.6</v>
      </c>
      <c r="F33" s="25">
        <v>9.1</v>
      </c>
      <c r="G33" s="25">
        <v>40.5</v>
      </c>
      <c r="H33" s="25">
        <v>9.6</v>
      </c>
      <c r="I33" s="25">
        <v>5.9</v>
      </c>
      <c r="J33" s="25">
        <v>10.1</v>
      </c>
      <c r="K33" s="25">
        <v>9.6</v>
      </c>
      <c r="L33" s="25">
        <v>10.4</v>
      </c>
      <c r="M33" s="25">
        <v>2.6</v>
      </c>
      <c r="N33" s="25">
        <v>10.8</v>
      </c>
      <c r="O33" s="25">
        <v>10.8</v>
      </c>
      <c r="P33" s="25">
        <v>4.5999999999999996</v>
      </c>
      <c r="Q33" s="25">
        <v>5.7</v>
      </c>
      <c r="R33" s="25">
        <v>2.8</v>
      </c>
      <c r="S33" s="25">
        <v>7.3</v>
      </c>
      <c r="T33" s="25">
        <v>26.1</v>
      </c>
      <c r="U33" s="25">
        <v>45.7</v>
      </c>
      <c r="V33" s="25">
        <v>0</v>
      </c>
      <c r="W33" s="25">
        <v>7.5</v>
      </c>
      <c r="X33" s="25">
        <v>46</v>
      </c>
      <c r="Y33" s="25">
        <v>6.2</v>
      </c>
      <c r="Z33" s="25">
        <v>6.4</v>
      </c>
      <c r="AA33" s="25">
        <v>5</v>
      </c>
      <c r="AB33" s="25">
        <v>13</v>
      </c>
      <c r="AC33" s="25">
        <v>14.8</v>
      </c>
      <c r="AD33" s="25">
        <v>4.2</v>
      </c>
      <c r="AE33" s="25">
        <v>8.1999999999999993</v>
      </c>
      <c r="AF33" s="25">
        <v>3.7</v>
      </c>
      <c r="AG33" s="25">
        <v>9.4</v>
      </c>
      <c r="AH33" s="25">
        <v>7.3</v>
      </c>
      <c r="AI33" s="25">
        <v>5</v>
      </c>
      <c r="AJ33" s="25">
        <v>10.9</v>
      </c>
      <c r="AK33" s="25">
        <v>2.9</v>
      </c>
      <c r="AL33" s="25">
        <v>4.5999999999999996</v>
      </c>
      <c r="AM33" s="25">
        <v>4.3</v>
      </c>
      <c r="AN33" s="25">
        <v>4.2</v>
      </c>
      <c r="AO33" s="25">
        <v>10.1</v>
      </c>
      <c r="AP33" s="25">
        <v>4.9000000000000004</v>
      </c>
      <c r="AQ33" s="25">
        <v>8.5</v>
      </c>
      <c r="AR33" s="25">
        <v>6.9</v>
      </c>
      <c r="AS33" s="25">
        <v>10.199999999999999</v>
      </c>
      <c r="AT33" s="25">
        <v>8.4</v>
      </c>
      <c r="AU33" s="25">
        <v>7.1</v>
      </c>
      <c r="AV33" s="25">
        <v>7.8</v>
      </c>
      <c r="AW33" s="31"/>
      <c r="BC33" s="33">
        <v>21</v>
      </c>
    </row>
    <row r="34" spans="1:55" ht="15.75">
      <c r="A34" s="26" t="s">
        <v>68</v>
      </c>
      <c r="B34" s="25">
        <v>37.5</v>
      </c>
      <c r="C34" s="25">
        <v>6.2</v>
      </c>
      <c r="D34" s="25">
        <v>5.835</v>
      </c>
      <c r="E34" s="25">
        <v>7.2270000000000003</v>
      </c>
      <c r="F34" s="25">
        <v>5.17</v>
      </c>
      <c r="G34" s="25">
        <v>37.5</v>
      </c>
      <c r="H34" s="25">
        <v>5.7069999999999999</v>
      </c>
      <c r="I34" s="25">
        <v>7.1840000000000002</v>
      </c>
      <c r="J34" s="25">
        <v>6.55</v>
      </c>
      <c r="K34" s="25">
        <v>6.1529999999999996</v>
      </c>
      <c r="L34" s="25">
        <v>8.14</v>
      </c>
      <c r="M34" s="25">
        <v>6.8</v>
      </c>
      <c r="N34" s="25">
        <v>6.6280000000000001</v>
      </c>
      <c r="O34" s="25">
        <v>6.7</v>
      </c>
      <c r="P34" s="25">
        <v>1.3</v>
      </c>
      <c r="Q34" s="25">
        <v>8.6999999999999993</v>
      </c>
      <c r="R34" s="25">
        <v>7</v>
      </c>
      <c r="S34" s="25">
        <v>7.8</v>
      </c>
      <c r="T34" s="25">
        <v>21.026</v>
      </c>
      <c r="U34" s="25">
        <v>44.752000000000002</v>
      </c>
      <c r="V34" s="25">
        <v>7.5</v>
      </c>
      <c r="W34" s="25">
        <v>0</v>
      </c>
      <c r="X34" s="25">
        <v>46.786000000000001</v>
      </c>
      <c r="Y34" s="25">
        <v>9.8330000000000002</v>
      </c>
      <c r="Z34" s="25">
        <v>7.617</v>
      </c>
      <c r="AA34" s="25">
        <v>7.2119999999999997</v>
      </c>
      <c r="AB34" s="25">
        <v>10.27</v>
      </c>
      <c r="AC34" s="25">
        <v>26.225000000000001</v>
      </c>
      <c r="AD34" s="25">
        <v>2.1</v>
      </c>
      <c r="AE34" s="25">
        <v>5.8659999999999997</v>
      </c>
      <c r="AF34" s="25">
        <v>4.0999999999999996</v>
      </c>
      <c r="AG34" s="25">
        <v>6.0030000000000001</v>
      </c>
      <c r="AH34" s="25">
        <v>1.1859999999999999</v>
      </c>
      <c r="AI34" s="25">
        <v>6.5629999999999997</v>
      </c>
      <c r="AJ34" s="25">
        <v>7.524</v>
      </c>
      <c r="AK34" s="25">
        <v>7.5830000000000002</v>
      </c>
      <c r="AL34" s="25">
        <v>6.8140000000000001</v>
      </c>
      <c r="AM34" s="25">
        <v>9.0749999999999993</v>
      </c>
      <c r="AN34" s="25">
        <v>8.7379999999999995</v>
      </c>
      <c r="AO34" s="25">
        <v>6.6580000000000004</v>
      </c>
      <c r="AP34" s="25">
        <v>5.6</v>
      </c>
      <c r="AQ34" s="25">
        <v>7.0330000000000004</v>
      </c>
      <c r="AR34" s="25">
        <v>5.7830000000000004</v>
      </c>
      <c r="AS34" s="25">
        <v>6.9210000000000003</v>
      </c>
      <c r="AT34" s="25">
        <v>6.923</v>
      </c>
      <c r="AU34" s="25">
        <v>5.4</v>
      </c>
      <c r="AV34" s="25">
        <v>8.52</v>
      </c>
      <c r="AW34" s="31"/>
      <c r="BC34" s="33">
        <v>22</v>
      </c>
    </row>
    <row r="35" spans="1:55" ht="15.75">
      <c r="A35" s="26" t="s">
        <v>69</v>
      </c>
      <c r="B35" s="25">
        <v>0</v>
      </c>
      <c r="C35" s="25">
        <v>49.195</v>
      </c>
      <c r="D35" s="25">
        <v>49.758000000000003</v>
      </c>
      <c r="E35" s="25">
        <v>51.087000000000003</v>
      </c>
      <c r="F35" s="25">
        <v>48.021999999999998</v>
      </c>
      <c r="G35" s="25">
        <v>0</v>
      </c>
      <c r="H35" s="25">
        <v>47.41</v>
      </c>
      <c r="I35" s="25">
        <v>49.210999999999999</v>
      </c>
      <c r="J35" s="25">
        <v>44.781999999999996</v>
      </c>
      <c r="K35" s="25">
        <v>46.055</v>
      </c>
      <c r="L35" s="25">
        <v>45.454000000000001</v>
      </c>
      <c r="M35" s="25">
        <v>43.6</v>
      </c>
      <c r="N35" s="25">
        <v>44.595999999999997</v>
      </c>
      <c r="O35" s="25">
        <v>42.1</v>
      </c>
      <c r="P35" s="25">
        <v>39</v>
      </c>
      <c r="Q35" s="25">
        <v>43.8</v>
      </c>
      <c r="R35" s="25">
        <v>43.8</v>
      </c>
      <c r="S35" s="25">
        <v>42.2</v>
      </c>
      <c r="T35" s="25">
        <v>30.221</v>
      </c>
      <c r="U35" s="25">
        <v>33.201000000000001</v>
      </c>
      <c r="V35" s="25">
        <v>46</v>
      </c>
      <c r="W35" s="25">
        <v>46.545000000000002</v>
      </c>
      <c r="X35" s="25">
        <v>0</v>
      </c>
      <c r="Y35" s="25">
        <v>56.59</v>
      </c>
      <c r="Z35" s="25">
        <v>50.87</v>
      </c>
      <c r="AA35" s="25">
        <v>50.670999999999999</v>
      </c>
      <c r="AB35" s="25">
        <v>43.405999999999999</v>
      </c>
      <c r="AC35" s="25">
        <v>32.686</v>
      </c>
      <c r="AD35" s="25">
        <v>39.799999999999997</v>
      </c>
      <c r="AE35" s="25">
        <v>47.682000000000002</v>
      </c>
      <c r="AF35" s="25">
        <v>45.444000000000003</v>
      </c>
      <c r="AG35" s="25">
        <v>45.917999999999999</v>
      </c>
      <c r="AH35" s="25">
        <v>50.228999999999999</v>
      </c>
      <c r="AI35" s="25">
        <v>50.423000000000002</v>
      </c>
      <c r="AJ35" s="25">
        <v>42.420999999999999</v>
      </c>
      <c r="AK35" s="25">
        <v>51.442999999999998</v>
      </c>
      <c r="AL35" s="25">
        <v>50.673999999999999</v>
      </c>
      <c r="AM35" s="25">
        <v>52.533999999999999</v>
      </c>
      <c r="AN35" s="25">
        <v>52.197000000000003</v>
      </c>
      <c r="AO35" s="25">
        <v>45.863</v>
      </c>
      <c r="AP35" s="25">
        <v>51.887999999999998</v>
      </c>
      <c r="AQ35" s="25">
        <v>49.338999999999999</v>
      </c>
      <c r="AR35" s="25">
        <v>48.281999999999996</v>
      </c>
      <c r="AS35" s="25">
        <v>44.716999999999999</v>
      </c>
      <c r="AT35" s="25">
        <v>49.354999999999997</v>
      </c>
      <c r="AU35" s="25">
        <v>40.200000000000003</v>
      </c>
      <c r="AV35" s="25">
        <v>47.77</v>
      </c>
      <c r="AW35" s="31"/>
      <c r="BC35" s="33">
        <v>23</v>
      </c>
    </row>
    <row r="36" spans="1:55" ht="15.75">
      <c r="A36" s="26" t="s">
        <v>70</v>
      </c>
      <c r="B36" s="25">
        <v>41.4</v>
      </c>
      <c r="C36" s="25">
        <v>9.0169999999999995</v>
      </c>
      <c r="D36" s="25">
        <v>5.9809999999999999</v>
      </c>
      <c r="E36" s="25">
        <v>5.5190000000000001</v>
      </c>
      <c r="F36" s="25">
        <v>9.282</v>
      </c>
      <c r="G36" s="25">
        <v>41.4</v>
      </c>
      <c r="H36" s="25">
        <v>9.8190000000000008</v>
      </c>
      <c r="I36" s="25">
        <v>7.109</v>
      </c>
      <c r="J36" s="25">
        <v>10.901</v>
      </c>
      <c r="K36" s="25">
        <v>10.504</v>
      </c>
      <c r="L36" s="25">
        <v>12.491</v>
      </c>
      <c r="M36" s="25">
        <v>2.9</v>
      </c>
      <c r="N36" s="25">
        <v>11.298999999999999</v>
      </c>
      <c r="O36" s="25">
        <v>9.9</v>
      </c>
      <c r="P36" s="25">
        <v>5.4</v>
      </c>
      <c r="Q36" s="25">
        <v>6.4</v>
      </c>
      <c r="R36" s="25">
        <v>3</v>
      </c>
      <c r="S36" s="25">
        <v>7.8</v>
      </c>
      <c r="T36" s="25">
        <v>22.853000000000002</v>
      </c>
      <c r="U36" s="25">
        <v>46.579000000000001</v>
      </c>
      <c r="V36" s="25">
        <v>6.2</v>
      </c>
      <c r="W36" s="25">
        <v>7.7850000000000001</v>
      </c>
      <c r="X36" s="25">
        <v>51.853999999999999</v>
      </c>
      <c r="Y36" s="25">
        <v>0</v>
      </c>
      <c r="Z36" s="25">
        <v>7.431</v>
      </c>
      <c r="AA36" s="25">
        <v>6.2309999999999999</v>
      </c>
      <c r="AB36" s="25">
        <v>14.621</v>
      </c>
      <c r="AC36" s="25">
        <v>31.292999999999999</v>
      </c>
      <c r="AD36" s="25">
        <v>5</v>
      </c>
      <c r="AE36" s="25">
        <v>9.1669999999999998</v>
      </c>
      <c r="AF36" s="25">
        <v>8.77</v>
      </c>
      <c r="AG36" s="25">
        <v>10.353999999999999</v>
      </c>
      <c r="AH36" s="25">
        <v>9.3800000000000008</v>
      </c>
      <c r="AI36" s="25">
        <v>5.9370000000000003</v>
      </c>
      <c r="AJ36" s="25">
        <v>11.875</v>
      </c>
      <c r="AK36" s="25">
        <v>3.9990000000000001</v>
      </c>
      <c r="AL36" s="25">
        <v>6.2519999999999998</v>
      </c>
      <c r="AM36" s="25">
        <v>5.54</v>
      </c>
      <c r="AN36" s="25">
        <v>5.5510000000000002</v>
      </c>
      <c r="AO36" s="25">
        <v>11.009</v>
      </c>
      <c r="AP36" s="25">
        <v>8.6590000000000007</v>
      </c>
      <c r="AQ36" s="25">
        <v>9.4380000000000006</v>
      </c>
      <c r="AR36" s="25">
        <v>8.0129999999999999</v>
      </c>
      <c r="AS36" s="25">
        <v>11.272</v>
      </c>
      <c r="AT36" s="25">
        <v>9.3279999999999994</v>
      </c>
      <c r="AU36" s="25">
        <v>8.4</v>
      </c>
      <c r="AV36" s="25">
        <v>11.085000000000001</v>
      </c>
      <c r="AW36" s="31"/>
      <c r="BC36" s="33">
        <v>24</v>
      </c>
    </row>
    <row r="37" spans="1:55" ht="15.75">
      <c r="A37" s="26" t="s">
        <v>71</v>
      </c>
      <c r="B37" s="25">
        <v>41.9</v>
      </c>
      <c r="C37" s="25">
        <v>12.516</v>
      </c>
      <c r="D37" s="25">
        <v>11.739000000000001</v>
      </c>
      <c r="E37" s="25">
        <v>3.17</v>
      </c>
      <c r="F37" s="25">
        <v>11.074</v>
      </c>
      <c r="G37" s="25">
        <v>41.9</v>
      </c>
      <c r="H37" s="25">
        <v>11.611000000000001</v>
      </c>
      <c r="I37" s="25">
        <v>13.087999999999999</v>
      </c>
      <c r="J37" s="25">
        <v>14.221</v>
      </c>
      <c r="K37" s="25">
        <v>13.007</v>
      </c>
      <c r="L37" s="25">
        <v>15.44</v>
      </c>
      <c r="M37" s="25">
        <v>5.8</v>
      </c>
      <c r="N37" s="25">
        <v>6.3049999999999997</v>
      </c>
      <c r="O37" s="25">
        <v>12.9</v>
      </c>
      <c r="P37" s="25">
        <v>6.6</v>
      </c>
      <c r="Q37" s="25">
        <v>1.8</v>
      </c>
      <c r="R37" s="25">
        <v>4.2</v>
      </c>
      <c r="S37" s="25">
        <v>1.9</v>
      </c>
      <c r="T37" s="25">
        <v>16.806999999999999</v>
      </c>
      <c r="U37" s="25">
        <v>40.533000000000001</v>
      </c>
      <c r="V37" s="25">
        <v>6.4</v>
      </c>
      <c r="W37" s="25">
        <v>7.702</v>
      </c>
      <c r="X37" s="25">
        <v>51.116</v>
      </c>
      <c r="Y37" s="25">
        <v>7.4169999999999998</v>
      </c>
      <c r="Z37" s="25">
        <v>0</v>
      </c>
      <c r="AA37" s="25">
        <v>1.5129999999999999</v>
      </c>
      <c r="AB37" s="25">
        <v>18.692</v>
      </c>
      <c r="AC37" s="25">
        <v>30.555</v>
      </c>
      <c r="AD37" s="25">
        <v>6.2</v>
      </c>
      <c r="AE37" s="25">
        <v>11.77</v>
      </c>
      <c r="AF37" s="25">
        <v>5.4370000000000003</v>
      </c>
      <c r="AG37" s="25">
        <v>12.856999999999999</v>
      </c>
      <c r="AH37" s="25">
        <v>9.327</v>
      </c>
      <c r="AI37" s="25">
        <v>2.5059999999999998</v>
      </c>
      <c r="AJ37" s="25">
        <v>15.194000000000001</v>
      </c>
      <c r="AK37" s="25">
        <v>3.9809999999999999</v>
      </c>
      <c r="AL37" s="25">
        <v>2.7559999999999998</v>
      </c>
      <c r="AM37" s="25">
        <v>2.2629999999999999</v>
      </c>
      <c r="AN37" s="25">
        <v>1.9259999999999999</v>
      </c>
      <c r="AO37" s="25">
        <v>14.329000000000001</v>
      </c>
      <c r="AP37" s="25">
        <v>8.6059999999999999</v>
      </c>
      <c r="AQ37" s="25">
        <v>12.936999999999999</v>
      </c>
      <c r="AR37" s="25">
        <v>11.686999999999999</v>
      </c>
      <c r="AS37" s="25">
        <v>13.775</v>
      </c>
      <c r="AT37" s="25">
        <v>12.827</v>
      </c>
      <c r="AU37" s="25">
        <v>11.6</v>
      </c>
      <c r="AV37" s="25">
        <v>14.423999999999999</v>
      </c>
      <c r="AW37" s="31"/>
      <c r="BC37" s="33">
        <v>25</v>
      </c>
    </row>
    <row r="38" spans="1:55" ht="15.75">
      <c r="A38" s="26" t="s">
        <v>72</v>
      </c>
      <c r="B38" s="25">
        <v>41.8</v>
      </c>
      <c r="C38" s="25">
        <v>12.085000000000001</v>
      </c>
      <c r="D38" s="25">
        <v>11.307</v>
      </c>
      <c r="E38" s="25">
        <v>1.554</v>
      </c>
      <c r="F38" s="25">
        <v>10.643000000000001</v>
      </c>
      <c r="G38" s="25">
        <v>41.8</v>
      </c>
      <c r="H38" s="25">
        <v>11.18</v>
      </c>
      <c r="I38" s="25">
        <v>12.657</v>
      </c>
      <c r="J38" s="25">
        <v>13.79</v>
      </c>
      <c r="K38" s="25">
        <v>12.574999999999999</v>
      </c>
      <c r="L38" s="25">
        <v>15.009</v>
      </c>
      <c r="M38" s="25">
        <v>4.8</v>
      </c>
      <c r="N38" s="25">
        <v>6.0949999999999998</v>
      </c>
      <c r="O38" s="25">
        <v>12.6</v>
      </c>
      <c r="P38" s="25">
        <v>6.3</v>
      </c>
      <c r="Q38" s="25">
        <v>1.5</v>
      </c>
      <c r="R38" s="25">
        <v>3.2</v>
      </c>
      <c r="S38" s="25">
        <v>2.4</v>
      </c>
      <c r="T38" s="25">
        <v>17.515999999999998</v>
      </c>
      <c r="U38" s="25">
        <v>41.241999999999997</v>
      </c>
      <c r="V38" s="25">
        <v>5</v>
      </c>
      <c r="W38" s="25">
        <v>7.2709999999999999</v>
      </c>
      <c r="X38" s="25">
        <v>50.905999999999999</v>
      </c>
      <c r="Y38" s="25">
        <v>6.2309999999999999</v>
      </c>
      <c r="Z38" s="25">
        <v>1.5149999999999999</v>
      </c>
      <c r="AA38" s="25">
        <v>0</v>
      </c>
      <c r="AB38" s="25">
        <v>18.481999999999999</v>
      </c>
      <c r="AC38" s="25">
        <v>30.344999999999999</v>
      </c>
      <c r="AD38" s="25">
        <v>5.9</v>
      </c>
      <c r="AE38" s="25">
        <v>11.339</v>
      </c>
      <c r="AF38" s="25">
        <v>5.2270000000000003</v>
      </c>
      <c r="AG38" s="25">
        <v>12.425000000000001</v>
      </c>
      <c r="AH38" s="25">
        <v>8.8949999999999996</v>
      </c>
      <c r="AI38" s="25">
        <v>1.32</v>
      </c>
      <c r="AJ38" s="25">
        <v>14.763</v>
      </c>
      <c r="AK38" s="25">
        <v>2.9089999999999998</v>
      </c>
      <c r="AL38" s="25">
        <v>0.98799999999999999</v>
      </c>
      <c r="AM38" s="25">
        <v>1.64</v>
      </c>
      <c r="AN38" s="25">
        <v>1.3029999999999999</v>
      </c>
      <c r="AO38" s="25">
        <v>13.898</v>
      </c>
      <c r="AP38" s="25">
        <v>8.1739999999999995</v>
      </c>
      <c r="AQ38" s="25">
        <v>12.506</v>
      </c>
      <c r="AR38" s="25">
        <v>11.256</v>
      </c>
      <c r="AS38" s="25">
        <v>13.343</v>
      </c>
      <c r="AT38" s="25">
        <v>12.396000000000001</v>
      </c>
      <c r="AU38" s="25">
        <v>11.1</v>
      </c>
      <c r="AV38" s="25">
        <v>13.993</v>
      </c>
      <c r="AW38" s="31"/>
      <c r="BC38" s="33">
        <v>26</v>
      </c>
    </row>
    <row r="39" spans="1:55" ht="15.75">
      <c r="A39" s="26" t="s">
        <v>73</v>
      </c>
      <c r="B39" s="25">
        <v>34.200000000000003</v>
      </c>
      <c r="C39" s="25">
        <v>7.3570000000000002</v>
      </c>
      <c r="D39" s="25">
        <v>8.8849999999999998</v>
      </c>
      <c r="E39" s="25">
        <v>16.181000000000001</v>
      </c>
      <c r="F39" s="25">
        <v>6.2270000000000003</v>
      </c>
      <c r="G39" s="25">
        <v>34.200000000000003</v>
      </c>
      <c r="H39" s="25">
        <v>5.6150000000000002</v>
      </c>
      <c r="I39" s="25">
        <v>8.3369999999999997</v>
      </c>
      <c r="J39" s="25">
        <v>6.7320000000000002</v>
      </c>
      <c r="K39" s="25">
        <v>4.2169999999999996</v>
      </c>
      <c r="L39" s="25">
        <v>4.0010000000000003</v>
      </c>
      <c r="M39" s="25">
        <v>15.6</v>
      </c>
      <c r="N39" s="25">
        <v>12.388</v>
      </c>
      <c r="O39" s="25">
        <v>5.9</v>
      </c>
      <c r="P39" s="25">
        <v>10</v>
      </c>
      <c r="Q39" s="25">
        <v>18.399999999999999</v>
      </c>
      <c r="R39" s="25">
        <v>15.8</v>
      </c>
      <c r="S39" s="25">
        <v>15</v>
      </c>
      <c r="T39" s="25">
        <v>25.207000000000001</v>
      </c>
      <c r="U39" s="25">
        <v>48.933</v>
      </c>
      <c r="V39" s="25">
        <v>13</v>
      </c>
      <c r="W39" s="25">
        <v>8.9559999999999995</v>
      </c>
      <c r="X39" s="25">
        <v>43.34</v>
      </c>
      <c r="Y39" s="25">
        <v>14.135999999999999</v>
      </c>
      <c r="Z39" s="25">
        <v>16.571000000000002</v>
      </c>
      <c r="AA39" s="25">
        <v>16.166</v>
      </c>
      <c r="AB39" s="25">
        <v>0</v>
      </c>
      <c r="AC39" s="25">
        <v>22.779</v>
      </c>
      <c r="AD39" s="25">
        <v>10.8</v>
      </c>
      <c r="AE39" s="25">
        <v>5.2460000000000004</v>
      </c>
      <c r="AF39" s="25">
        <v>11.430999999999999</v>
      </c>
      <c r="AG39" s="25">
        <v>4.0730000000000004</v>
      </c>
      <c r="AH39" s="25">
        <v>7.7750000000000004</v>
      </c>
      <c r="AI39" s="25">
        <v>15.516999999999999</v>
      </c>
      <c r="AJ39" s="25">
        <v>4.3710000000000004</v>
      </c>
      <c r="AK39" s="25">
        <v>16.510999999999999</v>
      </c>
      <c r="AL39" s="25">
        <v>15.768000000000001</v>
      </c>
      <c r="AM39" s="25">
        <v>18.029</v>
      </c>
      <c r="AN39" s="25">
        <v>17.692</v>
      </c>
      <c r="AO39" s="25">
        <v>4.41</v>
      </c>
      <c r="AP39" s="25">
        <v>9.4339999999999993</v>
      </c>
      <c r="AQ39" s="25">
        <v>7.5010000000000003</v>
      </c>
      <c r="AR39" s="25">
        <v>7.1040000000000001</v>
      </c>
      <c r="AS39" s="25">
        <v>2.8719999999999999</v>
      </c>
      <c r="AT39" s="25">
        <v>7.5170000000000003</v>
      </c>
      <c r="AU39" s="25">
        <v>6.4</v>
      </c>
      <c r="AV39" s="25">
        <v>5.9320000000000004</v>
      </c>
      <c r="AW39" s="31"/>
      <c r="BC39" s="33">
        <v>27</v>
      </c>
    </row>
    <row r="40" spans="1:55" ht="15.75">
      <c r="A40" s="26" t="s">
        <v>74</v>
      </c>
      <c r="B40" s="25">
        <v>26.3</v>
      </c>
      <c r="C40" s="25">
        <v>13.5</v>
      </c>
      <c r="D40" s="25">
        <v>17.071999999999999</v>
      </c>
      <c r="E40" s="25">
        <v>18.401</v>
      </c>
      <c r="F40" s="25">
        <v>15.336</v>
      </c>
      <c r="G40" s="25">
        <v>26.3</v>
      </c>
      <c r="H40" s="25">
        <v>14.724</v>
      </c>
      <c r="I40" s="25">
        <v>16.524999999999999</v>
      </c>
      <c r="J40" s="25">
        <v>12.096</v>
      </c>
      <c r="K40" s="25">
        <v>13.369</v>
      </c>
      <c r="L40" s="25">
        <v>12.768000000000001</v>
      </c>
      <c r="M40" s="25">
        <v>15.8</v>
      </c>
      <c r="N40" s="25">
        <v>11.91</v>
      </c>
      <c r="O40" s="25">
        <v>14.2</v>
      </c>
      <c r="P40" s="25">
        <v>11.2</v>
      </c>
      <c r="Q40" s="25">
        <v>15.8</v>
      </c>
      <c r="R40" s="25">
        <v>16</v>
      </c>
      <c r="S40" s="25">
        <v>14.3</v>
      </c>
      <c r="T40" s="25">
        <v>24.728999999999999</v>
      </c>
      <c r="U40" s="25">
        <v>48.454999999999998</v>
      </c>
      <c r="V40" s="25">
        <v>14.8</v>
      </c>
      <c r="W40" s="25">
        <v>13.859</v>
      </c>
      <c r="X40" s="25">
        <v>37.798999999999999</v>
      </c>
      <c r="Y40" s="25">
        <v>23.904</v>
      </c>
      <c r="Z40" s="25">
        <v>18.184000000000001</v>
      </c>
      <c r="AA40" s="25">
        <v>17.984999999999999</v>
      </c>
      <c r="AB40" s="25">
        <v>10.72</v>
      </c>
      <c r="AC40" s="25">
        <v>0</v>
      </c>
      <c r="AD40" s="25">
        <v>12</v>
      </c>
      <c r="AE40" s="25">
        <v>14.996</v>
      </c>
      <c r="AF40" s="25">
        <v>12.757999999999999</v>
      </c>
      <c r="AG40" s="25">
        <v>13.231999999999999</v>
      </c>
      <c r="AH40" s="25">
        <v>17.542999999999999</v>
      </c>
      <c r="AI40" s="25">
        <v>17.736999999999998</v>
      </c>
      <c r="AJ40" s="25">
        <v>9.7349999999999994</v>
      </c>
      <c r="AK40" s="25">
        <v>18.757000000000001</v>
      </c>
      <c r="AL40" s="25">
        <v>17.988</v>
      </c>
      <c r="AM40" s="25">
        <v>19.847999999999999</v>
      </c>
      <c r="AN40" s="25">
        <v>19.510999999999999</v>
      </c>
      <c r="AO40" s="25">
        <v>13.177</v>
      </c>
      <c r="AP40" s="25">
        <v>19.202000000000002</v>
      </c>
      <c r="AQ40" s="25">
        <v>16.652999999999999</v>
      </c>
      <c r="AR40" s="25">
        <v>15.596</v>
      </c>
      <c r="AS40" s="25">
        <v>12.031000000000001</v>
      </c>
      <c r="AT40" s="25">
        <v>16.669</v>
      </c>
      <c r="AU40" s="25">
        <v>12.4</v>
      </c>
      <c r="AV40" s="25">
        <v>15.084</v>
      </c>
      <c r="AW40" s="31"/>
      <c r="BC40" s="33">
        <v>28</v>
      </c>
    </row>
    <row r="41" spans="1:55" ht="15.75">
      <c r="A41" s="26" t="s">
        <v>75</v>
      </c>
      <c r="B41" s="25">
        <v>37.6</v>
      </c>
      <c r="C41" s="25">
        <v>8.1999999999999993</v>
      </c>
      <c r="D41" s="25">
        <v>7.6</v>
      </c>
      <c r="E41" s="25">
        <v>5.8</v>
      </c>
      <c r="F41" s="25">
        <v>6.7</v>
      </c>
      <c r="G41" s="25">
        <v>37.6</v>
      </c>
      <c r="H41" s="25">
        <v>7.2</v>
      </c>
      <c r="I41" s="25">
        <v>7.8</v>
      </c>
      <c r="J41" s="25">
        <v>4.5</v>
      </c>
      <c r="K41" s="25">
        <v>7.4</v>
      </c>
      <c r="L41" s="25">
        <v>8.3000000000000007</v>
      </c>
      <c r="M41" s="25">
        <v>5.7</v>
      </c>
      <c r="N41" s="25">
        <v>1.6</v>
      </c>
      <c r="O41" s="25">
        <v>8.6</v>
      </c>
      <c r="P41" s="25">
        <v>0.9</v>
      </c>
      <c r="Q41" s="25">
        <v>5.5</v>
      </c>
      <c r="R41" s="25">
        <v>5.9</v>
      </c>
      <c r="S41" s="25">
        <v>7.5</v>
      </c>
      <c r="T41" s="25">
        <v>25.4</v>
      </c>
      <c r="U41" s="25">
        <v>45</v>
      </c>
      <c r="V41" s="25">
        <v>4.2</v>
      </c>
      <c r="W41" s="25">
        <v>2.1</v>
      </c>
      <c r="X41" s="25">
        <v>39.799999999999997</v>
      </c>
      <c r="Y41" s="25">
        <v>5</v>
      </c>
      <c r="Z41" s="25">
        <v>6.2</v>
      </c>
      <c r="AA41" s="25">
        <v>5.9</v>
      </c>
      <c r="AB41" s="25">
        <v>10.8</v>
      </c>
      <c r="AC41" s="25">
        <v>12</v>
      </c>
      <c r="AD41" s="25">
        <v>0</v>
      </c>
      <c r="AE41" s="25">
        <v>7.3</v>
      </c>
      <c r="AF41" s="25">
        <v>1.4</v>
      </c>
      <c r="AG41" s="25">
        <v>7.3</v>
      </c>
      <c r="AH41" s="25">
        <v>3.1</v>
      </c>
      <c r="AI41" s="25">
        <v>5.0999999999999996</v>
      </c>
      <c r="AJ41" s="25">
        <v>8.8000000000000007</v>
      </c>
      <c r="AK41" s="25">
        <v>6.2</v>
      </c>
      <c r="AL41" s="25">
        <v>6.1</v>
      </c>
      <c r="AM41" s="25">
        <v>7.2</v>
      </c>
      <c r="AN41" s="25">
        <v>7.3</v>
      </c>
      <c r="AO41" s="25">
        <v>8</v>
      </c>
      <c r="AP41" s="25">
        <v>7.8</v>
      </c>
      <c r="AQ41" s="25">
        <v>8.6</v>
      </c>
      <c r="AR41" s="25">
        <v>7.3</v>
      </c>
      <c r="AS41" s="25">
        <v>8</v>
      </c>
      <c r="AT41" s="25">
        <v>8.4</v>
      </c>
      <c r="AU41" s="25">
        <v>7.1</v>
      </c>
      <c r="AV41" s="25">
        <v>7.8</v>
      </c>
      <c r="AW41" s="31"/>
      <c r="BC41" s="33">
        <v>29</v>
      </c>
    </row>
    <row r="42" spans="1:55" ht="15.75">
      <c r="A42" s="26" t="s">
        <v>76</v>
      </c>
      <c r="B42" s="25">
        <v>39.200000000000003</v>
      </c>
      <c r="C42" s="25">
        <v>2.548</v>
      </c>
      <c r="D42" s="25">
        <v>3.395</v>
      </c>
      <c r="E42" s="25">
        <v>11.324</v>
      </c>
      <c r="F42" s="25">
        <v>1.266</v>
      </c>
      <c r="G42" s="25">
        <v>39.200000000000003</v>
      </c>
      <c r="H42" s="25">
        <v>1.042</v>
      </c>
      <c r="I42" s="25">
        <v>2.847</v>
      </c>
      <c r="J42" s="25">
        <v>2.794</v>
      </c>
      <c r="K42" s="25">
        <v>1.5960000000000001</v>
      </c>
      <c r="L42" s="25">
        <v>3.5950000000000002</v>
      </c>
      <c r="M42" s="25">
        <v>10</v>
      </c>
      <c r="N42" s="25">
        <v>9.5329999999999995</v>
      </c>
      <c r="O42" s="25">
        <v>2.4</v>
      </c>
      <c r="P42" s="25">
        <v>6.5</v>
      </c>
      <c r="Q42" s="25">
        <v>11.1</v>
      </c>
      <c r="R42" s="25">
        <v>10.1</v>
      </c>
      <c r="S42" s="25">
        <v>11.7</v>
      </c>
      <c r="T42" s="25">
        <v>27.715</v>
      </c>
      <c r="U42" s="25">
        <v>51.441000000000003</v>
      </c>
      <c r="V42" s="25">
        <v>8.1999999999999993</v>
      </c>
      <c r="W42" s="25">
        <v>5.7249999999999996</v>
      </c>
      <c r="X42" s="25">
        <v>48.167999999999999</v>
      </c>
      <c r="Y42" s="25">
        <v>9.1460000000000008</v>
      </c>
      <c r="Z42" s="25">
        <v>11.714</v>
      </c>
      <c r="AA42" s="25">
        <v>11.31</v>
      </c>
      <c r="AB42" s="25">
        <v>5.7240000000000002</v>
      </c>
      <c r="AC42" s="25">
        <v>27.606000000000002</v>
      </c>
      <c r="AD42" s="25">
        <v>7.3</v>
      </c>
      <c r="AE42" s="25">
        <v>0</v>
      </c>
      <c r="AF42" s="25">
        <v>7.9850000000000003</v>
      </c>
      <c r="AG42" s="25">
        <v>1.7190000000000001</v>
      </c>
      <c r="AH42" s="25">
        <v>5.2450000000000001</v>
      </c>
      <c r="AI42" s="25">
        <v>10.66</v>
      </c>
      <c r="AJ42" s="25">
        <v>3.7669999999999999</v>
      </c>
      <c r="AK42" s="25">
        <v>11.654</v>
      </c>
      <c r="AL42" s="25">
        <v>10.911</v>
      </c>
      <c r="AM42" s="25">
        <v>13.172000000000001</v>
      </c>
      <c r="AN42" s="25">
        <v>12.835000000000001</v>
      </c>
      <c r="AO42" s="25">
        <v>2.9020000000000001</v>
      </c>
      <c r="AP42" s="25">
        <v>5.6609999999999996</v>
      </c>
      <c r="AQ42" s="25">
        <v>3.129</v>
      </c>
      <c r="AR42" s="25">
        <v>1.6140000000000001</v>
      </c>
      <c r="AS42" s="25">
        <v>2.3759999999999999</v>
      </c>
      <c r="AT42" s="25">
        <v>2.9209999999999998</v>
      </c>
      <c r="AU42" s="25">
        <v>1.6</v>
      </c>
      <c r="AV42" s="25">
        <v>3.9980000000000002</v>
      </c>
      <c r="AW42" s="31"/>
      <c r="BC42" s="33">
        <v>30</v>
      </c>
    </row>
    <row r="43" spans="1:55" ht="15.75">
      <c r="A43" s="26" t="s">
        <v>77</v>
      </c>
      <c r="B43" s="25">
        <v>38.5</v>
      </c>
      <c r="C43" s="25">
        <v>10.327999999999999</v>
      </c>
      <c r="D43" s="25">
        <v>9.5510000000000002</v>
      </c>
      <c r="E43" s="25">
        <v>6.8840000000000003</v>
      </c>
      <c r="F43" s="25">
        <v>8.8859999999999992</v>
      </c>
      <c r="G43" s="25">
        <v>38.5</v>
      </c>
      <c r="H43" s="25">
        <v>9.423</v>
      </c>
      <c r="I43" s="25">
        <v>10.321999999999999</v>
      </c>
      <c r="J43" s="25">
        <v>8.2609999999999992</v>
      </c>
      <c r="K43" s="25">
        <v>7.8630000000000004</v>
      </c>
      <c r="L43" s="25">
        <v>9.85</v>
      </c>
      <c r="M43" s="25">
        <v>4.7</v>
      </c>
      <c r="N43" s="25">
        <v>3.6120000000000001</v>
      </c>
      <c r="O43" s="25">
        <v>10.1</v>
      </c>
      <c r="P43" s="25">
        <v>1.8</v>
      </c>
      <c r="Q43" s="25">
        <v>5.0999999999999996</v>
      </c>
      <c r="R43" s="25">
        <v>4.9000000000000004</v>
      </c>
      <c r="S43" s="25">
        <v>6.5</v>
      </c>
      <c r="T43" s="25">
        <v>17.940000000000001</v>
      </c>
      <c r="U43" s="25">
        <v>41.665999999999997</v>
      </c>
      <c r="V43" s="25">
        <v>3.7</v>
      </c>
      <c r="W43" s="25">
        <v>4.1760000000000002</v>
      </c>
      <c r="X43" s="25">
        <v>45.679000000000002</v>
      </c>
      <c r="Y43" s="25">
        <v>8.77</v>
      </c>
      <c r="Z43" s="25">
        <v>5.4260000000000002</v>
      </c>
      <c r="AA43" s="25">
        <v>5.2270000000000003</v>
      </c>
      <c r="AB43" s="25">
        <v>13.255000000000001</v>
      </c>
      <c r="AC43" s="25">
        <v>25.117999999999999</v>
      </c>
      <c r="AD43" s="25">
        <v>1.4</v>
      </c>
      <c r="AE43" s="25">
        <v>8.0519999999999996</v>
      </c>
      <c r="AF43" s="25">
        <v>0</v>
      </c>
      <c r="AG43" s="25">
        <v>7.7130000000000001</v>
      </c>
      <c r="AH43" s="25">
        <v>5.1189999999999998</v>
      </c>
      <c r="AI43" s="25">
        <v>6.22</v>
      </c>
      <c r="AJ43" s="25">
        <v>9.2349999999999994</v>
      </c>
      <c r="AK43" s="25">
        <v>8.593</v>
      </c>
      <c r="AL43" s="25">
        <v>6.47</v>
      </c>
      <c r="AM43" s="25">
        <v>7.09</v>
      </c>
      <c r="AN43" s="25">
        <v>6.7530000000000001</v>
      </c>
      <c r="AO43" s="25">
        <v>8.3689999999999998</v>
      </c>
      <c r="AP43" s="25">
        <v>6.4169999999999998</v>
      </c>
      <c r="AQ43" s="25">
        <v>10.749000000000001</v>
      </c>
      <c r="AR43" s="25">
        <v>9.0890000000000004</v>
      </c>
      <c r="AS43" s="25">
        <v>8.6310000000000002</v>
      </c>
      <c r="AT43" s="25">
        <v>10.638999999999999</v>
      </c>
      <c r="AU43" s="25">
        <v>8.8000000000000007</v>
      </c>
      <c r="AV43" s="25">
        <v>10.266</v>
      </c>
      <c r="AW43" s="31"/>
      <c r="BC43" s="33">
        <v>31</v>
      </c>
    </row>
    <row r="44" spans="1:55" ht="15.75">
      <c r="A44" s="26" t="s">
        <v>78</v>
      </c>
      <c r="B44" s="25">
        <v>37.1</v>
      </c>
      <c r="C44" s="25">
        <v>3.8860000000000001</v>
      </c>
      <c r="D44" s="25">
        <v>5.3440000000000003</v>
      </c>
      <c r="E44" s="25">
        <v>12.64</v>
      </c>
      <c r="F44" s="25">
        <v>3.673</v>
      </c>
      <c r="G44" s="25">
        <v>37.1</v>
      </c>
      <c r="H44" s="25">
        <v>2.5920000000000001</v>
      </c>
      <c r="I44" s="25">
        <v>4.7960000000000003</v>
      </c>
      <c r="J44" s="25">
        <v>2.5329999999999999</v>
      </c>
      <c r="K44" s="25">
        <v>1.329</v>
      </c>
      <c r="L44" s="25">
        <v>2.3380000000000001</v>
      </c>
      <c r="M44" s="25">
        <v>11.2</v>
      </c>
      <c r="N44" s="25">
        <v>9.4380000000000006</v>
      </c>
      <c r="O44" s="25">
        <v>3.6</v>
      </c>
      <c r="P44" s="25">
        <v>6.5</v>
      </c>
      <c r="Q44" s="25">
        <v>12.4</v>
      </c>
      <c r="R44" s="25">
        <v>11.4</v>
      </c>
      <c r="S44" s="25">
        <v>11.5</v>
      </c>
      <c r="T44" s="25">
        <v>23.295999999999999</v>
      </c>
      <c r="U44" s="25">
        <v>47.021999999999998</v>
      </c>
      <c r="V44" s="25">
        <v>9.4</v>
      </c>
      <c r="W44" s="25">
        <v>5.415</v>
      </c>
      <c r="X44" s="25">
        <v>46.188000000000002</v>
      </c>
      <c r="Y44" s="25">
        <v>10.595000000000001</v>
      </c>
      <c r="Z44" s="25">
        <v>13.03</v>
      </c>
      <c r="AA44" s="25">
        <v>12.625</v>
      </c>
      <c r="AB44" s="25">
        <v>4.4669999999999996</v>
      </c>
      <c r="AC44" s="25">
        <v>25.626000000000001</v>
      </c>
      <c r="AD44" s="25">
        <v>7.3</v>
      </c>
      <c r="AE44" s="25">
        <v>1.7050000000000001</v>
      </c>
      <c r="AF44" s="25">
        <v>7.89</v>
      </c>
      <c r="AG44" s="25">
        <v>0</v>
      </c>
      <c r="AH44" s="25">
        <v>4.234</v>
      </c>
      <c r="AI44" s="25">
        <v>11.976000000000001</v>
      </c>
      <c r="AJ44" s="25">
        <v>2.7709999999999999</v>
      </c>
      <c r="AK44" s="25">
        <v>12.97</v>
      </c>
      <c r="AL44" s="25">
        <v>12.227</v>
      </c>
      <c r="AM44" s="25">
        <v>14.488</v>
      </c>
      <c r="AN44" s="25">
        <v>14.151</v>
      </c>
      <c r="AO44" s="25">
        <v>1.276</v>
      </c>
      <c r="AP44" s="25">
        <v>5.8929999999999998</v>
      </c>
      <c r="AQ44" s="25">
        <v>5.3</v>
      </c>
      <c r="AR44" s="25">
        <v>3.5630000000000002</v>
      </c>
      <c r="AS44" s="25">
        <v>1.119</v>
      </c>
      <c r="AT44" s="25">
        <v>4.2590000000000003</v>
      </c>
      <c r="AU44" s="25">
        <v>3.6</v>
      </c>
      <c r="AV44" s="25">
        <v>3.7309999999999999</v>
      </c>
      <c r="AW44" s="31"/>
      <c r="BC44" s="33">
        <v>32</v>
      </c>
    </row>
    <row r="45" spans="1:55" ht="15.75">
      <c r="A45" s="26" t="s">
        <v>79</v>
      </c>
      <c r="B45" s="25">
        <v>37.299999999999997</v>
      </c>
      <c r="C45" s="25">
        <v>6.0990000000000002</v>
      </c>
      <c r="D45" s="25">
        <v>5.3220000000000001</v>
      </c>
      <c r="E45" s="25">
        <v>8.8689999999999998</v>
      </c>
      <c r="F45" s="25">
        <v>4.657</v>
      </c>
      <c r="G45" s="25">
        <v>37.299999999999997</v>
      </c>
      <c r="H45" s="25">
        <v>5.194</v>
      </c>
      <c r="I45" s="25">
        <v>6.6710000000000003</v>
      </c>
      <c r="J45" s="25">
        <v>4.6050000000000004</v>
      </c>
      <c r="K45" s="25">
        <v>4.2069999999999999</v>
      </c>
      <c r="L45" s="25">
        <v>6.194</v>
      </c>
      <c r="M45" s="25">
        <v>8.3000000000000007</v>
      </c>
      <c r="N45" s="25">
        <v>2.9</v>
      </c>
      <c r="O45" s="25">
        <v>6.5</v>
      </c>
      <c r="P45" s="25">
        <v>2.2999999999999998</v>
      </c>
      <c r="Q45" s="25">
        <v>8.5</v>
      </c>
      <c r="R45" s="25">
        <v>8.4</v>
      </c>
      <c r="S45" s="25">
        <v>8.6999999999999993</v>
      </c>
      <c r="T45" s="25">
        <v>20.864000000000001</v>
      </c>
      <c r="U45" s="25">
        <v>44.59</v>
      </c>
      <c r="V45" s="25">
        <v>7.3</v>
      </c>
      <c r="W45" s="25">
        <v>1.1859999999999999</v>
      </c>
      <c r="X45" s="25">
        <v>46.44</v>
      </c>
      <c r="Y45" s="25">
        <v>8.8469999999999995</v>
      </c>
      <c r="Z45" s="25">
        <v>9.2590000000000003</v>
      </c>
      <c r="AA45" s="25">
        <v>8.8539999999999992</v>
      </c>
      <c r="AB45" s="25">
        <v>8.3239999999999998</v>
      </c>
      <c r="AC45" s="25">
        <v>25.879000000000001</v>
      </c>
      <c r="AD45" s="25">
        <v>3.1</v>
      </c>
      <c r="AE45" s="25">
        <v>4.3959999999999999</v>
      </c>
      <c r="AF45" s="25">
        <v>5.1059999999999999</v>
      </c>
      <c r="AG45" s="25">
        <v>4.0570000000000004</v>
      </c>
      <c r="AH45" s="25">
        <v>0</v>
      </c>
      <c r="AI45" s="25">
        <v>8.2050000000000001</v>
      </c>
      <c r="AJ45" s="25">
        <v>5.5789999999999997</v>
      </c>
      <c r="AK45" s="25">
        <v>9.1989999999999998</v>
      </c>
      <c r="AL45" s="25">
        <v>8.4559999999999995</v>
      </c>
      <c r="AM45" s="25">
        <v>10.717000000000001</v>
      </c>
      <c r="AN45" s="25">
        <v>10.38</v>
      </c>
      <c r="AO45" s="25">
        <v>4.7130000000000001</v>
      </c>
      <c r="AP45" s="25">
        <v>2.1880000000000002</v>
      </c>
      <c r="AQ45" s="25">
        <v>6.52</v>
      </c>
      <c r="AR45" s="25">
        <v>5.27</v>
      </c>
      <c r="AS45" s="25">
        <v>4.9749999999999996</v>
      </c>
      <c r="AT45" s="25">
        <v>6.41</v>
      </c>
      <c r="AU45" s="25">
        <v>5.2</v>
      </c>
      <c r="AV45" s="25">
        <v>6.61</v>
      </c>
      <c r="AW45" s="31"/>
      <c r="BC45" s="33">
        <v>33</v>
      </c>
    </row>
    <row r="46" spans="1:55" ht="15.75">
      <c r="A46" s="26" t="s">
        <v>80</v>
      </c>
      <c r="B46" s="25">
        <v>41.5</v>
      </c>
      <c r="C46" s="25">
        <v>11.351000000000001</v>
      </c>
      <c r="D46" s="25">
        <v>10.573</v>
      </c>
      <c r="E46" s="25">
        <v>0.93200000000000005</v>
      </c>
      <c r="F46" s="25">
        <v>9.9090000000000007</v>
      </c>
      <c r="G46" s="25">
        <v>41.5</v>
      </c>
      <c r="H46" s="25">
        <v>10.446</v>
      </c>
      <c r="I46" s="25">
        <v>11.923</v>
      </c>
      <c r="J46" s="25">
        <v>13.055999999999999</v>
      </c>
      <c r="K46" s="25">
        <v>11.840999999999999</v>
      </c>
      <c r="L46" s="25">
        <v>14.275</v>
      </c>
      <c r="M46" s="25">
        <v>4</v>
      </c>
      <c r="N46" s="25">
        <v>7.0380000000000003</v>
      </c>
      <c r="O46" s="25">
        <v>11.8</v>
      </c>
      <c r="P46" s="25">
        <v>5.5</v>
      </c>
      <c r="Q46" s="25">
        <v>2.2999999999999998</v>
      </c>
      <c r="R46" s="25">
        <v>2.4</v>
      </c>
      <c r="S46" s="25">
        <v>3.3</v>
      </c>
      <c r="T46" s="25">
        <v>18.459</v>
      </c>
      <c r="U46" s="25">
        <v>42.185000000000002</v>
      </c>
      <c r="V46" s="25">
        <v>5</v>
      </c>
      <c r="W46" s="25">
        <v>6.5369999999999999</v>
      </c>
      <c r="X46" s="25">
        <v>50.606000000000002</v>
      </c>
      <c r="Y46" s="25">
        <v>6.0990000000000002</v>
      </c>
      <c r="Z46" s="25">
        <v>2.4580000000000002</v>
      </c>
      <c r="AA46" s="25">
        <v>2.0529999999999999</v>
      </c>
      <c r="AB46" s="25">
        <v>18.507999999999999</v>
      </c>
      <c r="AC46" s="25">
        <v>30.045000000000002</v>
      </c>
      <c r="AD46" s="25">
        <v>5.0999999999999996</v>
      </c>
      <c r="AE46" s="25">
        <v>10.605</v>
      </c>
      <c r="AF46" s="25">
        <v>6.17</v>
      </c>
      <c r="AG46" s="25">
        <v>11.691000000000001</v>
      </c>
      <c r="AH46" s="25">
        <v>8.1609999999999996</v>
      </c>
      <c r="AI46" s="25">
        <v>0</v>
      </c>
      <c r="AJ46" s="25">
        <v>14.029</v>
      </c>
      <c r="AK46" s="25">
        <v>2.7530000000000001</v>
      </c>
      <c r="AL46" s="25">
        <v>0.71799999999999997</v>
      </c>
      <c r="AM46" s="25">
        <v>2.4169999999999998</v>
      </c>
      <c r="AN46" s="25">
        <v>1.7769999999999999</v>
      </c>
      <c r="AO46" s="25">
        <v>13.164</v>
      </c>
      <c r="AP46" s="25">
        <v>7.44</v>
      </c>
      <c r="AQ46" s="25">
        <v>11.772</v>
      </c>
      <c r="AR46" s="25">
        <v>10.522</v>
      </c>
      <c r="AS46" s="25">
        <v>12.609</v>
      </c>
      <c r="AT46" s="25">
        <v>11.662000000000001</v>
      </c>
      <c r="AU46" s="25">
        <v>10.6</v>
      </c>
      <c r="AV46" s="25">
        <v>13.259</v>
      </c>
      <c r="AW46" s="31"/>
      <c r="BC46" s="33">
        <v>34</v>
      </c>
    </row>
    <row r="47" spans="1:55" ht="15.75">
      <c r="A47" s="26" t="s">
        <v>81</v>
      </c>
      <c r="B47" s="25">
        <v>34</v>
      </c>
      <c r="C47" s="25">
        <v>6.4050000000000002</v>
      </c>
      <c r="D47" s="25">
        <v>6.6340000000000003</v>
      </c>
      <c r="E47" s="25">
        <v>13.903</v>
      </c>
      <c r="F47" s="25">
        <v>4.9630000000000001</v>
      </c>
      <c r="G47" s="25">
        <v>34</v>
      </c>
      <c r="H47" s="25">
        <v>5.5</v>
      </c>
      <c r="I47" s="25">
        <v>6.0860000000000003</v>
      </c>
      <c r="J47" s="25">
        <v>2.6120000000000001</v>
      </c>
      <c r="K47" s="25">
        <v>3.6280000000000001</v>
      </c>
      <c r="L47" s="25">
        <v>0.83499999999999996</v>
      </c>
      <c r="M47" s="25">
        <v>12.7</v>
      </c>
      <c r="N47" s="25">
        <v>10.701000000000001</v>
      </c>
      <c r="O47" s="25">
        <v>6.1</v>
      </c>
      <c r="P47" s="25">
        <v>7.8</v>
      </c>
      <c r="Q47" s="25">
        <v>13.6</v>
      </c>
      <c r="R47" s="25">
        <v>12.9</v>
      </c>
      <c r="S47" s="25">
        <v>13</v>
      </c>
      <c r="T47" s="25">
        <v>24.559000000000001</v>
      </c>
      <c r="U47" s="25">
        <v>48.284999999999997</v>
      </c>
      <c r="V47" s="25">
        <v>10.9</v>
      </c>
      <c r="W47" s="25">
        <v>6.6779999999999999</v>
      </c>
      <c r="X47" s="25">
        <v>43.341999999999999</v>
      </c>
      <c r="Y47" s="25">
        <v>11.858000000000001</v>
      </c>
      <c r="Z47" s="25">
        <v>14.292999999999999</v>
      </c>
      <c r="AA47" s="25">
        <v>13.888</v>
      </c>
      <c r="AB47" s="25">
        <v>4.3979999999999997</v>
      </c>
      <c r="AC47" s="25">
        <v>22.78</v>
      </c>
      <c r="AD47" s="25">
        <v>8.8000000000000007</v>
      </c>
      <c r="AE47" s="25">
        <v>3.8159999999999998</v>
      </c>
      <c r="AF47" s="25">
        <v>9.1530000000000005</v>
      </c>
      <c r="AG47" s="25">
        <v>2.7959999999999998</v>
      </c>
      <c r="AH47" s="25">
        <v>5.4969999999999999</v>
      </c>
      <c r="AI47" s="25">
        <v>13.239000000000001</v>
      </c>
      <c r="AJ47" s="25">
        <v>0</v>
      </c>
      <c r="AK47" s="25">
        <v>14.233000000000001</v>
      </c>
      <c r="AL47" s="25">
        <v>13.49</v>
      </c>
      <c r="AM47" s="25">
        <v>15.750999999999999</v>
      </c>
      <c r="AN47" s="25">
        <v>15.414</v>
      </c>
      <c r="AO47" s="25">
        <v>1.647</v>
      </c>
      <c r="AP47" s="25">
        <v>7.1559999999999997</v>
      </c>
      <c r="AQ47" s="25">
        <v>6.8259999999999996</v>
      </c>
      <c r="AR47" s="25">
        <v>4.8529999999999998</v>
      </c>
      <c r="AS47" s="25">
        <v>2.266</v>
      </c>
      <c r="AT47" s="25">
        <v>6.7160000000000002</v>
      </c>
      <c r="AU47" s="25">
        <v>5.2</v>
      </c>
      <c r="AV47" s="25">
        <v>6.1319999999999997</v>
      </c>
      <c r="AW47" s="31"/>
      <c r="BC47" s="33">
        <v>35</v>
      </c>
    </row>
    <row r="48" spans="1:55" ht="15.75">
      <c r="A48" s="26" t="s">
        <v>82</v>
      </c>
      <c r="B48" s="25">
        <v>42.6</v>
      </c>
      <c r="C48" s="25">
        <v>12.654999999999999</v>
      </c>
      <c r="D48" s="25">
        <v>7.7629999999999999</v>
      </c>
      <c r="E48" s="25">
        <v>1.516</v>
      </c>
      <c r="F48" s="25">
        <v>11.212999999999999</v>
      </c>
      <c r="G48" s="25">
        <v>42.6</v>
      </c>
      <c r="H48" s="25">
        <v>11.75</v>
      </c>
      <c r="I48" s="25">
        <v>8.891</v>
      </c>
      <c r="J48" s="25">
        <v>14.36</v>
      </c>
      <c r="K48" s="25">
        <v>13.145</v>
      </c>
      <c r="L48" s="25">
        <v>15.579000000000001</v>
      </c>
      <c r="M48" s="25">
        <v>2.9</v>
      </c>
      <c r="N48" s="25">
        <v>9.0890000000000004</v>
      </c>
      <c r="O48" s="25">
        <v>12.9</v>
      </c>
      <c r="P48" s="25">
        <v>6.6</v>
      </c>
      <c r="Q48" s="25">
        <v>3.6</v>
      </c>
      <c r="R48" s="25">
        <v>1.3</v>
      </c>
      <c r="S48" s="25">
        <v>5.2</v>
      </c>
      <c r="T48" s="25">
        <v>19.274000000000001</v>
      </c>
      <c r="U48" s="25">
        <v>43</v>
      </c>
      <c r="V48" s="25">
        <v>2.9</v>
      </c>
      <c r="W48" s="25">
        <v>7.609</v>
      </c>
      <c r="X48" s="25">
        <v>51.677999999999997</v>
      </c>
      <c r="Y48" s="25">
        <v>4.734</v>
      </c>
      <c r="Z48" s="25">
        <v>3.8519999999999999</v>
      </c>
      <c r="AA48" s="25">
        <v>2.6520000000000001</v>
      </c>
      <c r="AB48" s="25">
        <v>19.812000000000001</v>
      </c>
      <c r="AC48" s="25">
        <v>31.117000000000001</v>
      </c>
      <c r="AD48" s="25">
        <v>6.2</v>
      </c>
      <c r="AE48" s="25">
        <v>11.909000000000001</v>
      </c>
      <c r="AF48" s="25">
        <v>8.593</v>
      </c>
      <c r="AG48" s="25">
        <v>12.994999999999999</v>
      </c>
      <c r="AH48" s="25">
        <v>9.4649999999999999</v>
      </c>
      <c r="AI48" s="25">
        <v>2.0510000000000002</v>
      </c>
      <c r="AJ48" s="25">
        <v>15.333</v>
      </c>
      <c r="AK48" s="25">
        <v>0</v>
      </c>
      <c r="AL48" s="25">
        <v>2.367</v>
      </c>
      <c r="AM48" s="25">
        <v>2.0750000000000002</v>
      </c>
      <c r="AN48" s="25">
        <v>2.14</v>
      </c>
      <c r="AO48" s="25">
        <v>14.468</v>
      </c>
      <c r="AP48" s="25">
        <v>8.7439999999999998</v>
      </c>
      <c r="AQ48" s="25">
        <v>13.076000000000001</v>
      </c>
      <c r="AR48" s="25">
        <v>11.826000000000001</v>
      </c>
      <c r="AS48" s="25">
        <v>13.913</v>
      </c>
      <c r="AT48" s="25">
        <v>12.965999999999999</v>
      </c>
      <c r="AU48" s="25">
        <v>11.6</v>
      </c>
      <c r="AV48" s="25">
        <v>14.563000000000001</v>
      </c>
      <c r="AW48" s="31"/>
      <c r="BC48" s="33">
        <v>36</v>
      </c>
    </row>
    <row r="49" spans="1:55" ht="15.75">
      <c r="A49" s="26" t="s">
        <v>83</v>
      </c>
      <c r="B49" s="25">
        <v>42.1</v>
      </c>
      <c r="C49" s="25">
        <v>11.685</v>
      </c>
      <c r="D49" s="25">
        <v>10.907</v>
      </c>
      <c r="E49" s="25">
        <v>1.034</v>
      </c>
      <c r="F49" s="25">
        <v>10.243</v>
      </c>
      <c r="G49" s="25">
        <v>42.1</v>
      </c>
      <c r="H49" s="25">
        <v>10.78</v>
      </c>
      <c r="I49" s="25">
        <v>12.257</v>
      </c>
      <c r="J49" s="25">
        <v>13.39</v>
      </c>
      <c r="K49" s="25">
        <v>12.175000000000001</v>
      </c>
      <c r="L49" s="25">
        <v>14.609</v>
      </c>
      <c r="M49" s="25">
        <v>4.4000000000000004</v>
      </c>
      <c r="N49" s="25">
        <v>7.0890000000000004</v>
      </c>
      <c r="O49" s="25">
        <v>12.8</v>
      </c>
      <c r="P49" s="25">
        <v>6.5</v>
      </c>
      <c r="Q49" s="25">
        <v>1.8</v>
      </c>
      <c r="R49" s="25">
        <v>2.8</v>
      </c>
      <c r="S49" s="25">
        <v>2.6</v>
      </c>
      <c r="T49" s="25">
        <v>18.792999999999999</v>
      </c>
      <c r="U49" s="25">
        <v>42.518999999999998</v>
      </c>
      <c r="V49" s="25">
        <v>4.5999999999999996</v>
      </c>
      <c r="W49" s="25">
        <v>6.8710000000000004</v>
      </c>
      <c r="X49" s="25">
        <v>50.94</v>
      </c>
      <c r="Y49" s="25">
        <v>6.2249999999999996</v>
      </c>
      <c r="Z49" s="25">
        <v>2.7919999999999998</v>
      </c>
      <c r="AA49" s="25">
        <v>0.98799999999999999</v>
      </c>
      <c r="AB49" s="25">
        <v>18.841999999999999</v>
      </c>
      <c r="AC49" s="25">
        <v>30.379000000000001</v>
      </c>
      <c r="AD49" s="25">
        <v>6.1</v>
      </c>
      <c r="AE49" s="25">
        <v>10.939</v>
      </c>
      <c r="AF49" s="25">
        <v>6.2210000000000001</v>
      </c>
      <c r="AG49" s="25">
        <v>12.025</v>
      </c>
      <c r="AH49" s="25">
        <v>8.4949999999999992</v>
      </c>
      <c r="AI49" s="25">
        <v>0.8</v>
      </c>
      <c r="AJ49" s="25">
        <v>14.363</v>
      </c>
      <c r="AK49" s="25">
        <v>2.3889999999999998</v>
      </c>
      <c r="AL49" s="25">
        <v>0</v>
      </c>
      <c r="AM49" s="25">
        <v>1.6</v>
      </c>
      <c r="AN49" s="25">
        <v>1.2629999999999999</v>
      </c>
      <c r="AO49" s="25">
        <v>13.497999999999999</v>
      </c>
      <c r="AP49" s="25">
        <v>7.774</v>
      </c>
      <c r="AQ49" s="25">
        <v>12.106</v>
      </c>
      <c r="AR49" s="25">
        <v>10.856</v>
      </c>
      <c r="AS49" s="25">
        <v>12.943</v>
      </c>
      <c r="AT49" s="25">
        <v>11.996</v>
      </c>
      <c r="AU49" s="25">
        <v>11.5</v>
      </c>
      <c r="AV49" s="25">
        <v>13.593</v>
      </c>
      <c r="AW49" s="31"/>
      <c r="BC49" s="33">
        <v>37</v>
      </c>
    </row>
    <row r="50" spans="1:55" ht="15.75">
      <c r="A50" s="26" t="s">
        <v>45</v>
      </c>
      <c r="B50" s="25">
        <v>43.5</v>
      </c>
      <c r="C50" s="25">
        <v>13.898</v>
      </c>
      <c r="D50" s="25">
        <v>9.0619999999999994</v>
      </c>
      <c r="E50" s="25">
        <v>1.8129999999999999</v>
      </c>
      <c r="F50" s="25">
        <v>12.456</v>
      </c>
      <c r="G50" s="25">
        <v>43.5</v>
      </c>
      <c r="H50" s="25">
        <v>12.993</v>
      </c>
      <c r="I50" s="25">
        <v>10.19</v>
      </c>
      <c r="J50" s="25">
        <v>15.603</v>
      </c>
      <c r="K50" s="25">
        <v>14.388</v>
      </c>
      <c r="L50" s="25">
        <v>16.821999999999999</v>
      </c>
      <c r="M50" s="25">
        <v>4</v>
      </c>
      <c r="N50" s="25">
        <v>7.9080000000000004</v>
      </c>
      <c r="O50" s="25">
        <v>13.9</v>
      </c>
      <c r="P50" s="25">
        <v>7.6</v>
      </c>
      <c r="Q50" s="25">
        <v>3.2</v>
      </c>
      <c r="R50" s="25">
        <v>2.5</v>
      </c>
      <c r="S50" s="25">
        <v>3.8</v>
      </c>
      <c r="T50" s="25">
        <v>17.657</v>
      </c>
      <c r="U50" s="25">
        <v>41.383000000000003</v>
      </c>
      <c r="V50" s="25">
        <v>4.3</v>
      </c>
      <c r="W50" s="25">
        <v>9.0839999999999996</v>
      </c>
      <c r="X50" s="25">
        <v>52.719000000000001</v>
      </c>
      <c r="Y50" s="25">
        <v>5.4859999999999998</v>
      </c>
      <c r="Z50" s="25">
        <v>2.2349999999999999</v>
      </c>
      <c r="AA50" s="25">
        <v>1.6419999999999999</v>
      </c>
      <c r="AB50" s="25">
        <v>21.055</v>
      </c>
      <c r="AC50" s="25">
        <v>32.158000000000001</v>
      </c>
      <c r="AD50" s="25">
        <v>7.2</v>
      </c>
      <c r="AE50" s="25">
        <v>13.151999999999999</v>
      </c>
      <c r="AF50" s="25">
        <v>7.04</v>
      </c>
      <c r="AG50" s="25">
        <v>14.238</v>
      </c>
      <c r="AH50" s="25">
        <v>10.708</v>
      </c>
      <c r="AI50" s="25">
        <v>2.2309999999999999</v>
      </c>
      <c r="AJ50" s="25">
        <v>16.576000000000001</v>
      </c>
      <c r="AK50" s="25">
        <v>2.218</v>
      </c>
      <c r="AL50" s="25">
        <v>1.7070000000000001</v>
      </c>
      <c r="AM50" s="25">
        <v>0</v>
      </c>
      <c r="AN50" s="25">
        <v>0.33800000000000002</v>
      </c>
      <c r="AO50" s="25">
        <v>15.711</v>
      </c>
      <c r="AP50" s="25">
        <v>9.9870000000000001</v>
      </c>
      <c r="AQ50" s="25">
        <v>14.319000000000001</v>
      </c>
      <c r="AR50" s="25">
        <v>13.069000000000001</v>
      </c>
      <c r="AS50" s="25">
        <v>15.156000000000001</v>
      </c>
      <c r="AT50" s="25">
        <v>14.209</v>
      </c>
      <c r="AU50" s="25">
        <v>12.4</v>
      </c>
      <c r="AV50" s="25">
        <v>15.805999999999999</v>
      </c>
      <c r="AW50" s="31"/>
      <c r="BC50" s="33">
        <v>38</v>
      </c>
    </row>
    <row r="51" spans="1:55" ht="15.75">
      <c r="A51" s="26" t="s">
        <v>84</v>
      </c>
      <c r="B51" s="25">
        <v>43.3</v>
      </c>
      <c r="C51" s="25">
        <v>13.833</v>
      </c>
      <c r="D51" s="25">
        <v>9.1069999999999993</v>
      </c>
      <c r="E51" s="25">
        <v>1.8580000000000001</v>
      </c>
      <c r="F51" s="25">
        <v>12.391</v>
      </c>
      <c r="G51" s="25">
        <v>43.3</v>
      </c>
      <c r="H51" s="25">
        <v>12.928000000000001</v>
      </c>
      <c r="I51" s="25">
        <v>10.234999999999999</v>
      </c>
      <c r="J51" s="25">
        <v>15.538</v>
      </c>
      <c r="K51" s="25">
        <v>14.323</v>
      </c>
      <c r="L51" s="25">
        <v>16.757000000000001</v>
      </c>
      <c r="M51" s="25">
        <v>4</v>
      </c>
      <c r="N51" s="25">
        <v>7.843</v>
      </c>
      <c r="O51" s="25">
        <v>14</v>
      </c>
      <c r="P51" s="25">
        <v>7.7</v>
      </c>
      <c r="Q51" s="25">
        <v>2.8</v>
      </c>
      <c r="R51" s="25">
        <v>2.4</v>
      </c>
      <c r="S51" s="25">
        <v>3.3</v>
      </c>
      <c r="T51" s="25">
        <v>17.361999999999998</v>
      </c>
      <c r="U51" s="25">
        <v>41.088000000000001</v>
      </c>
      <c r="V51" s="25">
        <v>4.2</v>
      </c>
      <c r="W51" s="25">
        <v>9.0190000000000001</v>
      </c>
      <c r="X51" s="25">
        <v>52.654000000000003</v>
      </c>
      <c r="Y51" s="25">
        <v>5.5510000000000002</v>
      </c>
      <c r="Z51" s="25">
        <v>2.1709999999999998</v>
      </c>
      <c r="AA51" s="25">
        <v>1.3049999999999999</v>
      </c>
      <c r="AB51" s="25">
        <v>20.99</v>
      </c>
      <c r="AC51" s="25">
        <v>32.093000000000004</v>
      </c>
      <c r="AD51" s="25">
        <v>7.3</v>
      </c>
      <c r="AE51" s="25">
        <v>13.087</v>
      </c>
      <c r="AF51" s="25">
        <v>6.9749999999999996</v>
      </c>
      <c r="AG51" s="25">
        <v>14.173</v>
      </c>
      <c r="AH51" s="25">
        <v>10.643000000000001</v>
      </c>
      <c r="AI51" s="25">
        <v>1.635</v>
      </c>
      <c r="AJ51" s="25">
        <v>16.510999999999999</v>
      </c>
      <c r="AK51" s="25">
        <v>2.2629999999999999</v>
      </c>
      <c r="AL51" s="25">
        <v>1.2629999999999999</v>
      </c>
      <c r="AM51" s="25">
        <v>0.33800000000000002</v>
      </c>
      <c r="AN51" s="25">
        <v>0</v>
      </c>
      <c r="AO51" s="25">
        <v>15.646000000000001</v>
      </c>
      <c r="AP51" s="25">
        <v>9.9220000000000006</v>
      </c>
      <c r="AQ51" s="25">
        <v>14.254</v>
      </c>
      <c r="AR51" s="25">
        <v>13.004</v>
      </c>
      <c r="AS51" s="25">
        <v>15.090999999999999</v>
      </c>
      <c r="AT51" s="25">
        <v>14.144</v>
      </c>
      <c r="AU51" s="25">
        <v>12.7</v>
      </c>
      <c r="AV51" s="25">
        <v>15.741</v>
      </c>
      <c r="AW51" s="31"/>
      <c r="BC51" s="33">
        <v>39</v>
      </c>
    </row>
    <row r="52" spans="1:55" ht="15.75">
      <c r="A52" s="26" t="s">
        <v>85</v>
      </c>
      <c r="B52" s="25">
        <v>35.4</v>
      </c>
      <c r="C52" s="25">
        <v>4.9000000000000004</v>
      </c>
      <c r="D52" s="25">
        <v>5.9870000000000001</v>
      </c>
      <c r="E52" s="25">
        <v>13.257</v>
      </c>
      <c r="F52" s="25">
        <v>4.3159999999999998</v>
      </c>
      <c r="G52" s="25">
        <v>35.4</v>
      </c>
      <c r="H52" s="25">
        <v>4.8529999999999998</v>
      </c>
      <c r="I52" s="25">
        <v>5.4390000000000001</v>
      </c>
      <c r="J52" s="25">
        <v>1.9650000000000001</v>
      </c>
      <c r="K52" s="25">
        <v>2.4460000000000002</v>
      </c>
      <c r="L52" s="25">
        <v>0.94599999999999995</v>
      </c>
      <c r="M52" s="25">
        <v>11.9</v>
      </c>
      <c r="N52" s="25">
        <v>10.055</v>
      </c>
      <c r="O52" s="25">
        <v>4.5</v>
      </c>
      <c r="P52" s="25">
        <v>7.2</v>
      </c>
      <c r="Q52" s="25">
        <v>13</v>
      </c>
      <c r="R52" s="25">
        <v>12.1</v>
      </c>
      <c r="S52" s="25">
        <v>12.2</v>
      </c>
      <c r="T52" s="25">
        <v>23.913</v>
      </c>
      <c r="U52" s="25">
        <v>47.639000000000003</v>
      </c>
      <c r="V52" s="25">
        <v>10.1</v>
      </c>
      <c r="W52" s="25">
        <v>6.032</v>
      </c>
      <c r="X52" s="25">
        <v>45.24</v>
      </c>
      <c r="Y52" s="25">
        <v>11.212</v>
      </c>
      <c r="Z52" s="25">
        <v>13.647</v>
      </c>
      <c r="AA52" s="25">
        <v>13.242000000000001</v>
      </c>
      <c r="AB52" s="25">
        <v>4.8849999999999998</v>
      </c>
      <c r="AC52" s="25">
        <v>24.678000000000001</v>
      </c>
      <c r="AD52" s="25">
        <v>8</v>
      </c>
      <c r="AE52" s="25">
        <v>3.169</v>
      </c>
      <c r="AF52" s="25">
        <v>8.5069999999999997</v>
      </c>
      <c r="AG52" s="25">
        <v>1.3009999999999999</v>
      </c>
      <c r="AH52" s="25">
        <v>4.851</v>
      </c>
      <c r="AI52" s="25">
        <v>12.593</v>
      </c>
      <c r="AJ52" s="25">
        <v>2.2029999999999998</v>
      </c>
      <c r="AK52" s="25">
        <v>13.587</v>
      </c>
      <c r="AL52" s="25">
        <v>12.843999999999999</v>
      </c>
      <c r="AM52" s="25">
        <v>15.105</v>
      </c>
      <c r="AN52" s="25">
        <v>14.768000000000001</v>
      </c>
      <c r="AO52" s="25">
        <v>0</v>
      </c>
      <c r="AP52" s="25">
        <v>6.51</v>
      </c>
      <c r="AQ52" s="25">
        <v>6.1790000000000003</v>
      </c>
      <c r="AR52" s="25">
        <v>4.2060000000000004</v>
      </c>
      <c r="AS52" s="25">
        <v>1.7230000000000001</v>
      </c>
      <c r="AT52" s="25">
        <v>7.3970000000000002</v>
      </c>
      <c r="AU52" s="25">
        <v>4.4000000000000004</v>
      </c>
      <c r="AV52" s="25">
        <v>5.8120000000000003</v>
      </c>
      <c r="AW52" s="31"/>
      <c r="BC52" s="33">
        <v>40</v>
      </c>
    </row>
    <row r="53" spans="1:55" ht="15.75">
      <c r="A53" s="26" t="s">
        <v>86</v>
      </c>
      <c r="B53" s="25">
        <v>43.1</v>
      </c>
      <c r="C53" s="25">
        <v>3.4</v>
      </c>
      <c r="D53" s="25">
        <v>3.395</v>
      </c>
      <c r="E53" s="25">
        <v>10.113</v>
      </c>
      <c r="F53" s="25">
        <v>4.1920000000000002</v>
      </c>
      <c r="G53" s="25">
        <v>43.1</v>
      </c>
      <c r="H53" s="25">
        <v>4.7290000000000001</v>
      </c>
      <c r="I53" s="25">
        <v>4.5220000000000002</v>
      </c>
      <c r="J53" s="25">
        <v>4.798</v>
      </c>
      <c r="K53" s="25">
        <v>4.4009999999999998</v>
      </c>
      <c r="L53" s="25">
        <v>6.3879999999999999</v>
      </c>
      <c r="M53" s="25">
        <v>6.7</v>
      </c>
      <c r="N53" s="25">
        <v>8.9079999999999995</v>
      </c>
      <c r="O53" s="25">
        <v>3.8</v>
      </c>
      <c r="P53" s="25">
        <v>7</v>
      </c>
      <c r="Q53" s="25">
        <v>11.1</v>
      </c>
      <c r="R53" s="25">
        <v>6.9</v>
      </c>
      <c r="S53" s="25">
        <v>13</v>
      </c>
      <c r="T53" s="25">
        <v>22.765999999999998</v>
      </c>
      <c r="U53" s="25">
        <v>46.491999999999997</v>
      </c>
      <c r="V53" s="25">
        <v>4.9000000000000004</v>
      </c>
      <c r="W53" s="25">
        <v>5.9</v>
      </c>
      <c r="X53" s="25">
        <v>50.972999999999999</v>
      </c>
      <c r="Y53" s="25">
        <v>7.1260000000000003</v>
      </c>
      <c r="Z53" s="25">
        <v>10.503</v>
      </c>
      <c r="AA53" s="25">
        <v>10.098000000000001</v>
      </c>
      <c r="AB53" s="25">
        <v>8.5180000000000007</v>
      </c>
      <c r="AC53" s="25">
        <v>30.411000000000001</v>
      </c>
      <c r="AD53" s="25">
        <v>7.8</v>
      </c>
      <c r="AE53" s="25">
        <v>4.5890000000000004</v>
      </c>
      <c r="AF53" s="25">
        <v>7.36</v>
      </c>
      <c r="AG53" s="25">
        <v>4.2510000000000003</v>
      </c>
      <c r="AH53" s="25">
        <v>2.7679999999999998</v>
      </c>
      <c r="AI53" s="25">
        <v>9.4489999999999998</v>
      </c>
      <c r="AJ53" s="25">
        <v>5.7720000000000002</v>
      </c>
      <c r="AK53" s="25">
        <v>8.67</v>
      </c>
      <c r="AL53" s="25">
        <v>9.6999999999999993</v>
      </c>
      <c r="AM53" s="25">
        <v>11.961</v>
      </c>
      <c r="AN53" s="25">
        <v>11.624000000000001</v>
      </c>
      <c r="AO53" s="25">
        <v>4.9059999999999997</v>
      </c>
      <c r="AP53" s="25">
        <v>0</v>
      </c>
      <c r="AQ53" s="25">
        <v>6.0549999999999997</v>
      </c>
      <c r="AR53" s="25">
        <v>5.6260000000000003</v>
      </c>
      <c r="AS53" s="25">
        <v>5.1689999999999996</v>
      </c>
      <c r="AT53" s="25">
        <v>5.9450000000000003</v>
      </c>
      <c r="AU53" s="25">
        <v>2.2999999999999998</v>
      </c>
      <c r="AV53" s="25">
        <v>6.8029999999999999</v>
      </c>
      <c r="AW53" s="31"/>
      <c r="BC53" s="33">
        <v>41</v>
      </c>
    </row>
    <row r="54" spans="1:55" ht="15.75">
      <c r="A54" s="26" t="s">
        <v>87</v>
      </c>
      <c r="B54" s="25">
        <v>40.4</v>
      </c>
      <c r="C54" s="25">
        <v>0.76900000000000002</v>
      </c>
      <c r="D54" s="25">
        <v>3.1859999999999999</v>
      </c>
      <c r="E54" s="25">
        <v>12.557</v>
      </c>
      <c r="F54" s="25">
        <v>2.0339999999999998</v>
      </c>
      <c r="G54" s="25">
        <v>40.4</v>
      </c>
      <c r="H54" s="25">
        <v>2.0979999999999999</v>
      </c>
      <c r="I54" s="25">
        <v>2.6389999999999998</v>
      </c>
      <c r="J54" s="25">
        <v>5.5460000000000003</v>
      </c>
      <c r="K54" s="25">
        <v>3.3530000000000002</v>
      </c>
      <c r="L54" s="25">
        <v>8.0869999999999997</v>
      </c>
      <c r="M54" s="25">
        <v>10.3</v>
      </c>
      <c r="N54" s="25">
        <v>12.061999999999999</v>
      </c>
      <c r="O54" s="25">
        <v>1.2</v>
      </c>
      <c r="P54" s="25">
        <v>7.8</v>
      </c>
      <c r="Q54" s="25">
        <v>12.2</v>
      </c>
      <c r="R54" s="25">
        <v>10.4</v>
      </c>
      <c r="S54" s="25">
        <v>13.8</v>
      </c>
      <c r="T54" s="25">
        <v>28.946999999999999</v>
      </c>
      <c r="U54" s="25">
        <v>52.673000000000002</v>
      </c>
      <c r="V54" s="25">
        <v>8.5</v>
      </c>
      <c r="W54" s="25">
        <v>6.9569999999999999</v>
      </c>
      <c r="X54" s="25">
        <v>49.73</v>
      </c>
      <c r="Y54" s="25">
        <v>11.382999999999999</v>
      </c>
      <c r="Z54" s="25">
        <v>12.946</v>
      </c>
      <c r="AA54" s="25">
        <v>12.542</v>
      </c>
      <c r="AB54" s="25">
        <v>8.1769999999999996</v>
      </c>
      <c r="AC54" s="25">
        <v>29.169</v>
      </c>
      <c r="AD54" s="25">
        <v>8.6</v>
      </c>
      <c r="AE54" s="25">
        <v>3.0950000000000002</v>
      </c>
      <c r="AF54" s="25">
        <v>10.72</v>
      </c>
      <c r="AG54" s="25">
        <v>4.9980000000000002</v>
      </c>
      <c r="AH54" s="25">
        <v>6.4770000000000003</v>
      </c>
      <c r="AI54" s="25">
        <v>11.893000000000001</v>
      </c>
      <c r="AJ54" s="25">
        <v>6.5190000000000001</v>
      </c>
      <c r="AK54" s="25">
        <v>12.885999999999999</v>
      </c>
      <c r="AL54" s="25">
        <v>12.144</v>
      </c>
      <c r="AM54" s="25">
        <v>14.404</v>
      </c>
      <c r="AN54" s="25">
        <v>14.067</v>
      </c>
      <c r="AO54" s="25">
        <v>5.6539999999999999</v>
      </c>
      <c r="AP54" s="25">
        <v>6.8929999999999998</v>
      </c>
      <c r="AQ54" s="25">
        <v>0</v>
      </c>
      <c r="AR54" s="25">
        <v>2.294</v>
      </c>
      <c r="AS54" s="25">
        <v>6.9589999999999996</v>
      </c>
      <c r="AT54" s="25">
        <v>0.63500000000000001</v>
      </c>
      <c r="AU54" s="25">
        <v>2.1</v>
      </c>
      <c r="AV54" s="25">
        <v>3.6139999999999999</v>
      </c>
      <c r="AW54" s="31"/>
      <c r="BC54" s="33">
        <v>42</v>
      </c>
    </row>
    <row r="55" spans="1:55" ht="15.75">
      <c r="A55" s="26" t="s">
        <v>88</v>
      </c>
      <c r="B55" s="25">
        <v>41.5</v>
      </c>
      <c r="C55" s="25">
        <v>1.79</v>
      </c>
      <c r="D55" s="25">
        <v>2.21</v>
      </c>
      <c r="E55" s="25">
        <v>11.340999999999999</v>
      </c>
      <c r="F55" s="25">
        <v>0.35399999999999998</v>
      </c>
      <c r="G55" s="25">
        <v>41.5</v>
      </c>
      <c r="H55" s="25">
        <v>0.88200000000000001</v>
      </c>
      <c r="I55" s="25">
        <v>1.663</v>
      </c>
      <c r="J55" s="25">
        <v>3.88</v>
      </c>
      <c r="K55" s="25">
        <v>3.4820000000000002</v>
      </c>
      <c r="L55" s="25">
        <v>5.0990000000000002</v>
      </c>
      <c r="M55" s="25">
        <v>9</v>
      </c>
      <c r="N55" s="25">
        <v>10.619</v>
      </c>
      <c r="O55" s="25">
        <v>2.2000000000000002</v>
      </c>
      <c r="P55" s="25">
        <v>6.5</v>
      </c>
      <c r="Q55" s="25">
        <v>10.8</v>
      </c>
      <c r="R55" s="25">
        <v>9.1999999999999993</v>
      </c>
      <c r="S55" s="25">
        <v>12.5</v>
      </c>
      <c r="T55" s="25">
        <v>27.731000000000002</v>
      </c>
      <c r="U55" s="25">
        <v>51.457000000000001</v>
      </c>
      <c r="V55" s="25">
        <v>6.9</v>
      </c>
      <c r="W55" s="25">
        <v>5.7409999999999997</v>
      </c>
      <c r="X55" s="25">
        <v>50.661000000000001</v>
      </c>
      <c r="Y55" s="25">
        <v>7.9610000000000003</v>
      </c>
      <c r="Z55" s="25">
        <v>11.73</v>
      </c>
      <c r="AA55" s="25">
        <v>11.326000000000001</v>
      </c>
      <c r="AB55" s="25">
        <v>9.1069999999999993</v>
      </c>
      <c r="AC55" s="25">
        <v>15.6</v>
      </c>
      <c r="AD55" s="25">
        <v>7.3</v>
      </c>
      <c r="AE55" s="25">
        <v>1.6140000000000001</v>
      </c>
      <c r="AF55" s="25">
        <v>9.0709999999999997</v>
      </c>
      <c r="AG55" s="25">
        <v>3.3319999999999999</v>
      </c>
      <c r="AH55" s="25">
        <v>5.2610000000000001</v>
      </c>
      <c r="AI55" s="25">
        <v>10.677</v>
      </c>
      <c r="AJ55" s="25">
        <v>4.8529999999999998</v>
      </c>
      <c r="AK55" s="25">
        <v>11.67</v>
      </c>
      <c r="AL55" s="25">
        <v>10.928000000000001</v>
      </c>
      <c r="AM55" s="25">
        <v>13.188000000000001</v>
      </c>
      <c r="AN55" s="25">
        <v>12.851000000000001</v>
      </c>
      <c r="AO55" s="25">
        <v>3.988</v>
      </c>
      <c r="AP55" s="25">
        <v>5.6769999999999996</v>
      </c>
      <c r="AQ55" s="25">
        <v>2.2109999999999999</v>
      </c>
      <c r="AR55" s="25">
        <v>0</v>
      </c>
      <c r="AS55" s="25">
        <v>4.25</v>
      </c>
      <c r="AT55" s="25">
        <v>2.101</v>
      </c>
      <c r="AU55" s="25">
        <v>0.1</v>
      </c>
      <c r="AV55" s="25">
        <v>3.8580000000000001</v>
      </c>
      <c r="AW55" s="31"/>
      <c r="BC55" s="33">
        <v>43</v>
      </c>
    </row>
    <row r="56" spans="1:55" ht="15.75">
      <c r="A56" s="26" t="s">
        <v>89</v>
      </c>
      <c r="B56" s="25">
        <v>35.9</v>
      </c>
      <c r="C56" s="25">
        <v>4.1029999999999998</v>
      </c>
      <c r="D56" s="25">
        <v>6.0010000000000003</v>
      </c>
      <c r="E56" s="25">
        <v>13.297000000000001</v>
      </c>
      <c r="F56" s="25">
        <v>4.33</v>
      </c>
      <c r="G56" s="25">
        <v>35.9</v>
      </c>
      <c r="H56" s="25">
        <v>3.2480000000000002</v>
      </c>
      <c r="I56" s="25">
        <v>5.4530000000000003</v>
      </c>
      <c r="J56" s="25">
        <v>2.9649999999999999</v>
      </c>
      <c r="K56" s="25">
        <v>1.9850000000000001</v>
      </c>
      <c r="L56" s="25">
        <v>2.113</v>
      </c>
      <c r="M56" s="25">
        <v>12</v>
      </c>
      <c r="N56" s="25">
        <v>10.095000000000001</v>
      </c>
      <c r="O56" s="25">
        <v>3.9</v>
      </c>
      <c r="P56" s="25">
        <v>7.2</v>
      </c>
      <c r="Q56" s="25">
        <v>13.1</v>
      </c>
      <c r="R56" s="25">
        <v>12.1</v>
      </c>
      <c r="S56" s="25">
        <v>12.2</v>
      </c>
      <c r="T56" s="25">
        <v>23.952999999999999</v>
      </c>
      <c r="U56" s="25">
        <v>47.679000000000002</v>
      </c>
      <c r="V56" s="25">
        <v>10.199999999999999</v>
      </c>
      <c r="W56" s="25">
        <v>6.0720000000000001</v>
      </c>
      <c r="X56" s="25">
        <v>45.057000000000002</v>
      </c>
      <c r="Y56" s="25">
        <v>11.252000000000001</v>
      </c>
      <c r="Z56" s="25">
        <v>13.686999999999999</v>
      </c>
      <c r="AA56" s="25">
        <v>13.282</v>
      </c>
      <c r="AB56" s="25">
        <v>3.3359999999999999</v>
      </c>
      <c r="AC56" s="25">
        <v>24.495000000000001</v>
      </c>
      <c r="AD56" s="25">
        <v>8</v>
      </c>
      <c r="AE56" s="25">
        <v>2.3610000000000002</v>
      </c>
      <c r="AF56" s="25">
        <v>8.5470000000000006</v>
      </c>
      <c r="AG56" s="25">
        <v>1.1879999999999999</v>
      </c>
      <c r="AH56" s="25">
        <v>4.891</v>
      </c>
      <c r="AI56" s="25">
        <v>12.632999999999999</v>
      </c>
      <c r="AJ56" s="25">
        <v>2.8210000000000002</v>
      </c>
      <c r="AK56" s="25">
        <v>13.627000000000001</v>
      </c>
      <c r="AL56" s="25">
        <v>12.884</v>
      </c>
      <c r="AM56" s="25">
        <v>15.145</v>
      </c>
      <c r="AN56" s="25">
        <v>14.808</v>
      </c>
      <c r="AO56" s="25">
        <v>1.621</v>
      </c>
      <c r="AP56" s="25">
        <v>6.55</v>
      </c>
      <c r="AQ56" s="25">
        <v>5.7939999999999996</v>
      </c>
      <c r="AR56" s="25">
        <v>4.22</v>
      </c>
      <c r="AS56" s="25">
        <v>0</v>
      </c>
      <c r="AT56" s="25">
        <v>5.81</v>
      </c>
      <c r="AU56" s="25">
        <v>4.0999999999999996</v>
      </c>
      <c r="AV56" s="25">
        <v>4.2249999999999996</v>
      </c>
      <c r="AW56" s="31"/>
      <c r="BC56" s="33">
        <v>44</v>
      </c>
    </row>
    <row r="57" spans="1:55" ht="15.75">
      <c r="A57" s="26" t="s">
        <v>90</v>
      </c>
      <c r="B57" s="25">
        <v>39.4</v>
      </c>
      <c r="C57" s="25">
        <v>0.373</v>
      </c>
      <c r="D57" s="25">
        <v>3.6320000000000001</v>
      </c>
      <c r="E57" s="25">
        <v>12.419</v>
      </c>
      <c r="F57" s="25">
        <v>1.8959999999999999</v>
      </c>
      <c r="G57" s="25">
        <v>39.4</v>
      </c>
      <c r="H57" s="25">
        <v>1.96</v>
      </c>
      <c r="I57" s="25">
        <v>3.085</v>
      </c>
      <c r="J57" s="25">
        <v>5.4080000000000004</v>
      </c>
      <c r="K57" s="25">
        <v>2.9569999999999999</v>
      </c>
      <c r="L57" s="25">
        <v>5.6879999999999997</v>
      </c>
      <c r="M57" s="25">
        <v>11.8</v>
      </c>
      <c r="N57" s="25">
        <v>11.923999999999999</v>
      </c>
      <c r="O57" s="25">
        <v>0.8</v>
      </c>
      <c r="P57" s="25">
        <v>7.6</v>
      </c>
      <c r="Q57" s="25">
        <v>12</v>
      </c>
      <c r="R57" s="25">
        <v>12</v>
      </c>
      <c r="S57" s="25">
        <v>13.6</v>
      </c>
      <c r="T57" s="25">
        <v>28.809000000000001</v>
      </c>
      <c r="U57" s="25">
        <v>52.534999999999997</v>
      </c>
      <c r="V57" s="25">
        <v>8.4</v>
      </c>
      <c r="W57" s="25">
        <v>6.819</v>
      </c>
      <c r="X57" s="25">
        <v>50.279000000000003</v>
      </c>
      <c r="Y57" s="25">
        <v>9.3829999999999991</v>
      </c>
      <c r="Z57" s="25">
        <v>12.808</v>
      </c>
      <c r="AA57" s="25">
        <v>12.404</v>
      </c>
      <c r="AB57" s="25">
        <v>8.7249999999999996</v>
      </c>
      <c r="AC57" s="25">
        <v>29.716999999999999</v>
      </c>
      <c r="AD57" s="25">
        <v>8.4</v>
      </c>
      <c r="AE57" s="25">
        <v>2.9569999999999999</v>
      </c>
      <c r="AF57" s="25">
        <v>10.582000000000001</v>
      </c>
      <c r="AG57" s="25">
        <v>4.2640000000000002</v>
      </c>
      <c r="AH57" s="25">
        <v>6.3390000000000004</v>
      </c>
      <c r="AI57" s="25">
        <v>11.755000000000001</v>
      </c>
      <c r="AJ57" s="25">
        <v>6.3810000000000002</v>
      </c>
      <c r="AK57" s="25">
        <v>12.747999999999999</v>
      </c>
      <c r="AL57" s="25">
        <v>12.006</v>
      </c>
      <c r="AM57" s="25">
        <v>14.266</v>
      </c>
      <c r="AN57" s="25">
        <v>13.929</v>
      </c>
      <c r="AO57" s="25">
        <v>5.516</v>
      </c>
      <c r="AP57" s="25">
        <v>6.7549999999999999</v>
      </c>
      <c r="AQ57" s="25">
        <v>0.68799999999999994</v>
      </c>
      <c r="AR57" s="25">
        <v>2.1560000000000001</v>
      </c>
      <c r="AS57" s="25">
        <v>4.4690000000000003</v>
      </c>
      <c r="AT57" s="25">
        <v>0</v>
      </c>
      <c r="AU57" s="25">
        <v>2.1</v>
      </c>
      <c r="AV57" s="25">
        <v>3.476</v>
      </c>
      <c r="AW57" s="31"/>
      <c r="BC57" s="33">
        <v>45</v>
      </c>
    </row>
    <row r="58" spans="1:55" ht="15.75">
      <c r="A58" s="26" t="s">
        <v>91</v>
      </c>
      <c r="B58" s="25">
        <v>38</v>
      </c>
      <c r="C58" s="25">
        <v>1.9</v>
      </c>
      <c r="D58" s="25">
        <v>2.2000000000000002</v>
      </c>
      <c r="E58" s="25">
        <v>13.9</v>
      </c>
      <c r="F58" s="25">
        <v>0.6</v>
      </c>
      <c r="G58" s="25">
        <v>38</v>
      </c>
      <c r="H58" s="25">
        <v>0.9</v>
      </c>
      <c r="I58" s="25">
        <v>1.6</v>
      </c>
      <c r="J58" s="25">
        <v>4.4000000000000004</v>
      </c>
      <c r="K58" s="25">
        <v>2.9</v>
      </c>
      <c r="L58" s="25">
        <v>4.7</v>
      </c>
      <c r="M58" s="25">
        <v>9</v>
      </c>
      <c r="N58" s="25">
        <v>7.2</v>
      </c>
      <c r="O58" s="25">
        <v>2.2000000000000002</v>
      </c>
      <c r="P58" s="25">
        <v>6.4</v>
      </c>
      <c r="Q58" s="25">
        <v>10.9</v>
      </c>
      <c r="R58" s="25">
        <v>10.9</v>
      </c>
      <c r="S58" s="25">
        <v>12.5</v>
      </c>
      <c r="T58" s="25">
        <v>31.2</v>
      </c>
      <c r="U58" s="25">
        <v>50.9</v>
      </c>
      <c r="V58" s="25">
        <v>7.1</v>
      </c>
      <c r="W58" s="25">
        <v>5.4</v>
      </c>
      <c r="X58" s="25">
        <v>40.200000000000003</v>
      </c>
      <c r="Y58" s="25">
        <v>8.4</v>
      </c>
      <c r="Z58" s="25">
        <v>11.6</v>
      </c>
      <c r="AA58" s="25">
        <v>11.1</v>
      </c>
      <c r="AB58" s="25">
        <v>6.4</v>
      </c>
      <c r="AC58" s="25">
        <v>12.4</v>
      </c>
      <c r="AD58" s="25">
        <v>7.1</v>
      </c>
      <c r="AE58" s="25">
        <v>1.6</v>
      </c>
      <c r="AF58" s="25">
        <v>8.8000000000000007</v>
      </c>
      <c r="AG58" s="25">
        <v>3.6</v>
      </c>
      <c r="AH58" s="25">
        <v>5.2</v>
      </c>
      <c r="AI58" s="25">
        <v>10.6</v>
      </c>
      <c r="AJ58" s="25">
        <v>5.2</v>
      </c>
      <c r="AK58" s="25">
        <v>11.6</v>
      </c>
      <c r="AL58" s="25">
        <v>11.5</v>
      </c>
      <c r="AM58" s="25">
        <v>12.4</v>
      </c>
      <c r="AN58" s="25">
        <v>12.7</v>
      </c>
      <c r="AO58" s="25">
        <v>4.4000000000000004</v>
      </c>
      <c r="AP58" s="25">
        <v>2.2999999999999998</v>
      </c>
      <c r="AQ58" s="25">
        <v>2.1</v>
      </c>
      <c r="AR58" s="25">
        <v>0.1</v>
      </c>
      <c r="AS58" s="25">
        <v>4.0999999999999996</v>
      </c>
      <c r="AT58" s="25">
        <v>2.1</v>
      </c>
      <c r="AU58" s="25">
        <v>0</v>
      </c>
      <c r="AV58" s="25">
        <v>1.5</v>
      </c>
      <c r="AW58" s="31"/>
      <c r="BC58" s="33">
        <v>46</v>
      </c>
    </row>
    <row r="59" spans="1:55" ht="15.75">
      <c r="A59" s="26" t="s">
        <v>92</v>
      </c>
      <c r="B59" s="25">
        <v>38.5</v>
      </c>
      <c r="C59" s="25">
        <v>1.4059999999999999</v>
      </c>
      <c r="D59" s="25">
        <v>4.4809999999999999</v>
      </c>
      <c r="E59" s="25">
        <v>13.486000000000001</v>
      </c>
      <c r="F59" s="25">
        <v>2.9630000000000001</v>
      </c>
      <c r="G59" s="25">
        <v>38.5</v>
      </c>
      <c r="H59" s="25">
        <v>3.0270000000000001</v>
      </c>
      <c r="I59" s="25">
        <v>3.9329999999999998</v>
      </c>
      <c r="J59" s="25">
        <v>6.4749999999999996</v>
      </c>
      <c r="K59" s="25">
        <v>3.3260000000000001</v>
      </c>
      <c r="L59" s="25">
        <v>6.0570000000000004</v>
      </c>
      <c r="M59" s="25">
        <v>11.2</v>
      </c>
      <c r="N59" s="25">
        <v>12.991</v>
      </c>
      <c r="O59" s="25">
        <v>1.4</v>
      </c>
      <c r="P59" s="25">
        <v>7</v>
      </c>
      <c r="Q59" s="25">
        <v>11.4</v>
      </c>
      <c r="R59" s="25">
        <v>9.8000000000000007</v>
      </c>
      <c r="S59" s="25">
        <v>13</v>
      </c>
      <c r="T59" s="25">
        <v>29.876000000000001</v>
      </c>
      <c r="U59" s="25">
        <v>53.601999999999997</v>
      </c>
      <c r="V59" s="25">
        <v>7.8</v>
      </c>
      <c r="W59" s="25">
        <v>7.8860000000000001</v>
      </c>
      <c r="X59" s="25">
        <v>49.223999999999997</v>
      </c>
      <c r="Y59" s="25">
        <v>12.077</v>
      </c>
      <c r="Z59" s="25">
        <v>13.875</v>
      </c>
      <c r="AA59" s="25">
        <v>13.471</v>
      </c>
      <c r="AB59" s="25">
        <v>7.6710000000000003</v>
      </c>
      <c r="AC59" s="25">
        <v>28.663</v>
      </c>
      <c r="AD59" s="25">
        <v>7.8</v>
      </c>
      <c r="AE59" s="25">
        <v>3.3149999999999999</v>
      </c>
      <c r="AF59" s="25">
        <v>11.648999999999999</v>
      </c>
      <c r="AG59" s="25">
        <v>4.633</v>
      </c>
      <c r="AH59" s="25">
        <v>7.4059999999999997</v>
      </c>
      <c r="AI59" s="25">
        <v>12.821999999999999</v>
      </c>
      <c r="AJ59" s="25">
        <v>10.53</v>
      </c>
      <c r="AK59" s="25">
        <v>13.815</v>
      </c>
      <c r="AL59" s="25">
        <v>13.073</v>
      </c>
      <c r="AM59" s="25">
        <v>15.333</v>
      </c>
      <c r="AN59" s="25">
        <v>14.996</v>
      </c>
      <c r="AO59" s="25">
        <v>5.5650000000000004</v>
      </c>
      <c r="AP59" s="25">
        <v>7.8220000000000001</v>
      </c>
      <c r="AQ59" s="25">
        <v>1.55</v>
      </c>
      <c r="AR59" s="25">
        <v>3.2229999999999999</v>
      </c>
      <c r="AS59" s="25">
        <v>4.8380000000000001</v>
      </c>
      <c r="AT59" s="25">
        <v>1.5660000000000001</v>
      </c>
      <c r="AU59" s="25">
        <v>1.5</v>
      </c>
      <c r="AV59" s="25">
        <v>0</v>
      </c>
      <c r="AW59" s="31"/>
      <c r="BC59" s="33">
        <v>47</v>
      </c>
    </row>
    <row r="60" spans="1:55" ht="15.75">
      <c r="A60" s="36"/>
      <c r="B60" s="37"/>
      <c r="G60" s="37"/>
      <c r="O60" s="37"/>
      <c r="P60" s="37"/>
      <c r="R60" s="37"/>
      <c r="S60" s="37"/>
      <c r="AD60" s="37"/>
      <c r="AU60" s="37"/>
      <c r="BC60" s="33">
        <v>48</v>
      </c>
    </row>
    <row r="61" spans="1:55" ht="15.75">
      <c r="A61" s="36"/>
      <c r="B61" s="37"/>
      <c r="G61" s="37"/>
      <c r="O61" s="37"/>
      <c r="P61" s="37"/>
      <c r="R61" s="37"/>
      <c r="S61" s="37"/>
      <c r="AD61" s="37"/>
      <c r="AU61" s="37"/>
      <c r="BC61" s="33">
        <v>49</v>
      </c>
    </row>
    <row r="62" spans="1:55" ht="15.75">
      <c r="A62" s="36"/>
      <c r="B62" s="37"/>
      <c r="G62" s="37"/>
      <c r="O62" s="37"/>
      <c r="P62" s="37"/>
      <c r="R62" s="37"/>
      <c r="S62" s="37"/>
      <c r="AD62" s="37"/>
      <c r="AU62" s="37"/>
      <c r="BC62" s="33">
        <v>50</v>
      </c>
    </row>
    <row r="63" spans="1:55">
      <c r="BC63" s="33">
        <v>51</v>
      </c>
    </row>
    <row r="64" spans="1:55">
      <c r="BC64" s="33">
        <v>52</v>
      </c>
    </row>
    <row r="65" spans="55:55">
      <c r="BC65" s="33">
        <v>53</v>
      </c>
    </row>
    <row r="66" spans="55:55">
      <c r="BC66" s="33">
        <v>54</v>
      </c>
    </row>
    <row r="67" spans="55:55">
      <c r="BC67" s="33">
        <v>55</v>
      </c>
    </row>
    <row r="68" spans="55:55">
      <c r="BC68" s="33">
        <v>56</v>
      </c>
    </row>
    <row r="69" spans="55:55">
      <c r="BC69" s="33">
        <v>57</v>
      </c>
    </row>
    <row r="70" spans="55:55">
      <c r="BC70" s="33">
        <v>58</v>
      </c>
    </row>
    <row r="71" spans="55:55">
      <c r="BC71" s="33">
        <v>59</v>
      </c>
    </row>
    <row r="72" spans="55:55">
      <c r="BC72" s="33">
        <v>60</v>
      </c>
    </row>
    <row r="73" spans="55:55">
      <c r="BC73" s="33">
        <v>61</v>
      </c>
    </row>
    <row r="74" spans="55:55">
      <c r="BC74" s="33">
        <v>62</v>
      </c>
    </row>
    <row r="75" spans="55:55">
      <c r="BC75" s="33">
        <v>63</v>
      </c>
    </row>
    <row r="76" spans="55:55">
      <c r="BC76" s="33">
        <v>64</v>
      </c>
    </row>
    <row r="77" spans="55:55">
      <c r="BC77" s="33">
        <v>65</v>
      </c>
    </row>
    <row r="78" spans="55:55">
      <c r="BC78" s="33">
        <v>66</v>
      </c>
    </row>
    <row r="79" spans="55:55">
      <c r="BC79" s="33">
        <v>67</v>
      </c>
    </row>
    <row r="80" spans="55:55">
      <c r="BC80" s="33">
        <v>68</v>
      </c>
    </row>
    <row r="81" spans="1:55">
      <c r="BC81" s="33">
        <v>69</v>
      </c>
    </row>
    <row r="82" spans="1:55" hidden="1">
      <c r="A82" s="38">
        <v>1</v>
      </c>
      <c r="B82" s="33">
        <f>+A82+1</f>
        <v>2</v>
      </c>
      <c r="C82" s="33">
        <f t="shared" ref="C82:BC82" si="0">+B82+1</f>
        <v>3</v>
      </c>
      <c r="D82" s="33">
        <f t="shared" si="0"/>
        <v>4</v>
      </c>
      <c r="E82" s="33">
        <f t="shared" si="0"/>
        <v>5</v>
      </c>
      <c r="F82" s="33">
        <f t="shared" si="0"/>
        <v>6</v>
      </c>
      <c r="G82" s="33">
        <f t="shared" si="0"/>
        <v>7</v>
      </c>
      <c r="H82" s="33">
        <f t="shared" si="0"/>
        <v>8</v>
      </c>
      <c r="I82" s="33">
        <f t="shared" si="0"/>
        <v>9</v>
      </c>
      <c r="J82" s="33">
        <f t="shared" si="0"/>
        <v>10</v>
      </c>
      <c r="K82" s="33">
        <f t="shared" si="0"/>
        <v>11</v>
      </c>
      <c r="L82" s="33">
        <f t="shared" si="0"/>
        <v>12</v>
      </c>
      <c r="M82" s="33">
        <f t="shared" si="0"/>
        <v>13</v>
      </c>
      <c r="N82" s="33">
        <f t="shared" si="0"/>
        <v>14</v>
      </c>
      <c r="O82" s="33">
        <f t="shared" si="0"/>
        <v>15</v>
      </c>
      <c r="P82" s="33">
        <f t="shared" si="0"/>
        <v>16</v>
      </c>
      <c r="Q82" s="33">
        <f t="shared" si="0"/>
        <v>17</v>
      </c>
      <c r="R82" s="33">
        <f t="shared" si="0"/>
        <v>18</v>
      </c>
      <c r="S82" s="33">
        <f t="shared" si="0"/>
        <v>19</v>
      </c>
      <c r="T82" s="33">
        <f t="shared" si="0"/>
        <v>20</v>
      </c>
      <c r="U82" s="33">
        <f t="shared" si="0"/>
        <v>21</v>
      </c>
      <c r="V82" s="33">
        <f t="shared" si="0"/>
        <v>22</v>
      </c>
      <c r="W82" s="33">
        <f t="shared" si="0"/>
        <v>23</v>
      </c>
      <c r="X82" s="33">
        <f t="shared" si="0"/>
        <v>24</v>
      </c>
      <c r="Y82" s="33">
        <f t="shared" si="0"/>
        <v>25</v>
      </c>
      <c r="Z82" s="33">
        <f t="shared" si="0"/>
        <v>26</v>
      </c>
      <c r="AA82" s="33">
        <f t="shared" si="0"/>
        <v>27</v>
      </c>
      <c r="AB82" s="33">
        <f t="shared" si="0"/>
        <v>28</v>
      </c>
      <c r="AC82" s="33">
        <f t="shared" si="0"/>
        <v>29</v>
      </c>
      <c r="AD82" s="33">
        <f t="shared" si="0"/>
        <v>30</v>
      </c>
      <c r="AE82" s="33">
        <f t="shared" si="0"/>
        <v>31</v>
      </c>
      <c r="AF82" s="33">
        <f t="shared" si="0"/>
        <v>32</v>
      </c>
      <c r="AG82" s="33">
        <f t="shared" si="0"/>
        <v>33</v>
      </c>
      <c r="AH82" s="33">
        <f t="shared" si="0"/>
        <v>34</v>
      </c>
      <c r="AI82" s="33">
        <f t="shared" si="0"/>
        <v>35</v>
      </c>
      <c r="AJ82" s="33">
        <f t="shared" si="0"/>
        <v>36</v>
      </c>
      <c r="AK82" s="33">
        <f t="shared" si="0"/>
        <v>37</v>
      </c>
      <c r="AL82" s="33">
        <f t="shared" si="0"/>
        <v>38</v>
      </c>
      <c r="AM82" s="33">
        <f t="shared" si="0"/>
        <v>39</v>
      </c>
      <c r="AN82" s="33">
        <f t="shared" si="0"/>
        <v>40</v>
      </c>
      <c r="AO82" s="33">
        <f t="shared" si="0"/>
        <v>41</v>
      </c>
      <c r="AP82" s="33">
        <f t="shared" si="0"/>
        <v>42</v>
      </c>
      <c r="AQ82" s="33">
        <f t="shared" si="0"/>
        <v>43</v>
      </c>
      <c r="AR82" s="33">
        <f t="shared" si="0"/>
        <v>44</v>
      </c>
      <c r="AS82" s="33">
        <f t="shared" si="0"/>
        <v>45</v>
      </c>
      <c r="AT82" s="33">
        <f t="shared" si="0"/>
        <v>46</v>
      </c>
      <c r="AU82" s="33">
        <f t="shared" si="0"/>
        <v>47</v>
      </c>
      <c r="AV82" s="33">
        <f t="shared" si="0"/>
        <v>48</v>
      </c>
      <c r="AW82" s="33">
        <f t="shared" si="0"/>
        <v>49</v>
      </c>
      <c r="AX82" s="33">
        <f t="shared" si="0"/>
        <v>50</v>
      </c>
      <c r="AY82" s="33">
        <f t="shared" si="0"/>
        <v>51</v>
      </c>
      <c r="AZ82" s="33">
        <f t="shared" si="0"/>
        <v>52</v>
      </c>
      <c r="BA82" s="33">
        <f t="shared" si="0"/>
        <v>53</v>
      </c>
      <c r="BB82" s="33">
        <f t="shared" si="0"/>
        <v>54</v>
      </c>
      <c r="BC82" s="33">
        <f t="shared" si="0"/>
        <v>55</v>
      </c>
    </row>
  </sheetData>
  <sheetProtection algorithmName="SHA-512" hashValue="U9vXfKwRxpqWk4f8zhpqvcg2SfrVcxeNHIEwCZqLOkDPAHmh+U3gNE00klyZGLkNzwVELd2+h3hlJEBkazvQaw==" saltValue="BElohowphmvbLAlDObAF7Q==" spinCount="100000" sheet="1" objects="1" scenarios="1"/>
  <mergeCells count="3">
    <mergeCell ref="B7:I7"/>
    <mergeCell ref="B8:I8"/>
    <mergeCell ref="B9:D9"/>
  </mergeCells>
  <dataValidations count="1">
    <dataValidation type="list" allowBlank="1" showInputMessage="1" showErrorMessage="1" sqref="B7:B8" xr:uid="{CDAA1867-BCC1-4FFB-B12B-0E201FCC3A87}">
      <formula1>$A$13:$A$59</formula1>
    </dataValidation>
  </dataValidations>
  <pageMargins left="0.34" right="0.26" top="0.42" bottom="0.22" header="0.35" footer="0.23"/>
  <pageSetup scale="40" orientation="landscape" horizontalDpi="4294967295" verticalDpi="4294967295" r:id="rId1"/>
  <headerFooter alignWithMargins="0"/>
  <colBreaks count="1" manualBreakCount="1">
    <brk id="4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0DC4CAA215D47B8057851113DC03C" ma:contentTypeVersion="12" ma:contentTypeDescription="Crée un document." ma:contentTypeScope="" ma:versionID="bb98fcbc7a3487ebc17fb34bcc3bccd1">
  <xsd:schema xmlns:xsd="http://www.w3.org/2001/XMLSchema" xmlns:xs="http://www.w3.org/2001/XMLSchema" xmlns:p="http://schemas.microsoft.com/office/2006/metadata/properties" xmlns:ns2="0c279731-5c13-4cb7-abb8-01cda57843c8" xmlns:ns3="a772c8aa-26f2-4eb3-95cd-8d43c61e2273" targetNamespace="http://schemas.microsoft.com/office/2006/metadata/properties" ma:root="true" ma:fieldsID="8609a1994c9a4d71a36b7ef112591a61" ns2:_="" ns3:_="">
    <xsd:import namespace="0c279731-5c13-4cb7-abb8-01cda57843c8"/>
    <xsd:import namespace="a772c8aa-26f2-4eb3-95cd-8d43c61e2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79731-5c13-4cb7-abb8-01cda5784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e523386-9e24-42ba-a633-0afd3e461f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72c8aa-26f2-4eb3-95cd-8d43c61e22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4b9875-6ae7-4f63-9d3d-3e619cb1e504}" ma:internalName="TaxCatchAll" ma:showField="CatchAllData" ma:web="a772c8aa-26f2-4eb3-95cd-8d43c61e2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72c8aa-26f2-4eb3-95cd-8d43c61e2273" xsi:nil="true"/>
    <lcf76f155ced4ddcb4097134ff3c332f xmlns="0c279731-5c13-4cb7-abb8-01cda57843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4C1A8-8532-4EB3-A214-919BE626BF89}"/>
</file>

<file path=customXml/itemProps2.xml><?xml version="1.0" encoding="utf-8"?>
<ds:datastoreItem xmlns:ds="http://schemas.openxmlformats.org/officeDocument/2006/customXml" ds:itemID="{32559C91-9974-4B86-915C-9B27A2063FE6}"/>
</file>

<file path=customXml/itemProps3.xml><?xml version="1.0" encoding="utf-8"?>
<ds:datastoreItem xmlns:ds="http://schemas.openxmlformats.org/officeDocument/2006/customXml" ds:itemID="{44E87B36-AFEF-4968-801B-63464257D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Rémi Lupien</dc:creator>
  <cp:keywords/>
  <dc:description/>
  <cp:lastModifiedBy>Nadine Mavata</cp:lastModifiedBy>
  <cp:revision/>
  <dcterms:created xsi:type="dcterms:W3CDTF">2024-06-04T13:57:50Z</dcterms:created>
  <dcterms:modified xsi:type="dcterms:W3CDTF">2026-08-31T18:25:28Z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4f12b0-bd87-4ba1-9abf-997529404edd_Enabled">
    <vt:lpwstr>true</vt:lpwstr>
  </property>
  <property fmtid="{D5CDD505-2E9C-101B-9397-08002B2CF9AE}" pid="3" name="MSIP_Label_9a4f12b0-bd87-4ba1-9abf-997529404edd_SetDate">
    <vt:lpwstr>2026-08-31T18:25:24Z</vt:lpwstr>
  </property>
  <property fmtid="{D5CDD505-2E9C-101B-9397-08002B2CF9AE}" pid="4" name="MSIP_Label_9a4f12b0-bd87-4ba1-9abf-997529404edd_Method">
    <vt:lpwstr>Standard</vt:lpwstr>
  </property>
  <property fmtid="{D5CDD505-2E9C-101B-9397-08002B2CF9AE}" pid="5" name="MSIP_Label_9a4f12b0-bd87-4ba1-9abf-997529404edd_Name">
    <vt:lpwstr>Gouv-Diffusion restreinte</vt:lpwstr>
  </property>
  <property fmtid="{D5CDD505-2E9C-101B-9397-08002B2CF9AE}" pid="6" name="MSIP_Label_9a4f12b0-bd87-4ba1-9abf-997529404edd_SiteId">
    <vt:lpwstr>2b3aef89-da74-46f5-9b03-003d069909e7</vt:lpwstr>
  </property>
  <property fmtid="{D5CDD505-2E9C-101B-9397-08002B2CF9AE}" pid="7" name="MSIP_Label_9a4f12b0-bd87-4ba1-9abf-997529404edd_ActionId">
    <vt:lpwstr>1514f8dc-2899-4420-8478-c8693ddc64c2</vt:lpwstr>
  </property>
  <property fmtid="{D5CDD505-2E9C-101B-9397-08002B2CF9AE}" pid="8" name="MSIP_Label_9a4f12b0-bd87-4ba1-9abf-997529404edd_ContentBits">
    <vt:lpwstr>0</vt:lpwstr>
  </property>
  <property fmtid="{D5CDD505-2E9C-101B-9397-08002B2CF9AE}" pid="9" name="MSIP_Label_9a4f12b0-bd87-4ba1-9abf-997529404edd_Tag">
    <vt:lpwstr>10, 3, 0, 2</vt:lpwstr>
  </property>
  <property fmtid="{D5CDD505-2E9C-101B-9397-08002B2CF9AE}" pid="10" name="ContentTypeId">
    <vt:lpwstr>0x0101001D40DC4CAA215D47B8057851113DC03C</vt:lpwstr>
  </property>
</Properties>
</file>